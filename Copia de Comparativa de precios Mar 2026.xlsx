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fernandez\Downloads\"/>
    </mc:Choice>
  </mc:AlternateContent>
  <xr:revisionPtr revIDLastSave="0" documentId="8_{2D9B78FE-9E98-4336-8DF8-ACD73605F62E}" xr6:coauthVersionLast="47" xr6:coauthVersionMax="47" xr10:uidLastSave="{00000000-0000-0000-0000-000000000000}"/>
  <bookViews>
    <workbookView xWindow="-110" yWindow="-110" windowWidth="19420" windowHeight="10300" firstSheet="30" activeTab="32" xr2:uid="{00000000-000D-0000-FFFF-FFFF00000000}"/>
  </bookViews>
  <sheets>
    <sheet name="TERLOC_5mg" sheetId="33" r:id="rId1"/>
    <sheet name="TERLOC_10mg" sheetId="32" r:id="rId2"/>
    <sheet name="NEBILET_5mg" sheetId="31" r:id="rId3"/>
    <sheet name="SINTROM_4mg" sheetId="30" r:id="rId4"/>
    <sheet name="SILTRAN MET_850mg _ 50mg" sheetId="29" r:id="rId5"/>
    <sheet name="SILTRAN MET_500mg _ 50mg" sheetId="28" r:id="rId6"/>
    <sheet name="SILTRAN MET_1000mg _ 50mg" sheetId="27" r:id="rId7"/>
    <sheet name="SILTRAN_100mg" sheetId="26" r:id="rId8"/>
    <sheet name="SILTRAN_50mg" sheetId="25" r:id="rId9"/>
    <sheet name="ROXOLAN PLUS_10mg" sheetId="24" r:id="rId10"/>
    <sheet name="ROXOLAN_40mg" sheetId="23" r:id="rId11"/>
    <sheet name="ROXOLAN_20mg" sheetId="22" r:id="rId12"/>
    <sheet name="ROXOLAN_10mg" sheetId="21" r:id="rId13"/>
    <sheet name="PIXABAN_5mg" sheetId="20" r:id="rId14"/>
    <sheet name="PIXABAN_2.5mg" sheetId="19" r:id="rId15"/>
    <sheet name="ENTRESTO_51mg _ 49mg" sheetId="18" r:id="rId16"/>
    <sheet name="ENTRESTO_26mg _ 24mg" sheetId="17" r:id="rId17"/>
    <sheet name="EMPAX MET_1000mg _ 5mg" sheetId="16" r:id="rId18"/>
    <sheet name="EMPAX MET_850mg" sheetId="15" r:id="rId19"/>
    <sheet name="EMPAX_25mg" sheetId="14" r:id="rId20"/>
    <sheet name="EMPAX_10mg" sheetId="13" r:id="rId21"/>
    <sheet name="DIOVAN_80mg" sheetId="11" r:id="rId22"/>
    <sheet name="DIOVAN_160mg" sheetId="10" r:id="rId23"/>
    <sheet name="DIOVAN-D_160mg _ 12.5mg" sheetId="12" r:id="rId24"/>
    <sheet name="DILATREND_3.12mg" sheetId="6" r:id="rId25"/>
    <sheet name="DILATREND_6.25mg" sheetId="8" r:id="rId26"/>
    <sheet name="DILATREND_12.5mg" sheetId="3" r:id="rId27"/>
    <sheet name="DILATREND_25mg" sheetId="5" r:id="rId28"/>
    <sheet name="DILATREND_10mg" sheetId="2" r:id="rId29"/>
    <sheet name="DILATREND_20mg" sheetId="4" r:id="rId30"/>
    <sheet name="DILATREND_40mg" sheetId="7" r:id="rId31"/>
    <sheet name="DILATREND_80mg" sheetId="9" r:id="rId32"/>
    <sheet name="DAURAN_10mg" sheetId="1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33" l="1"/>
  <c r="M8" i="33"/>
  <c r="M6" i="32"/>
  <c r="M3" i="31"/>
  <c r="M8" i="29"/>
  <c r="M10" i="29"/>
  <c r="M6" i="28"/>
  <c r="M11" i="27"/>
  <c r="M17" i="27"/>
  <c r="M9" i="26"/>
  <c r="M8" i="25"/>
  <c r="E6" i="24"/>
  <c r="E5" i="24"/>
  <c r="E4" i="24"/>
  <c r="M11" i="23"/>
  <c r="M13" i="22"/>
  <c r="M13" i="21"/>
  <c r="M6" i="20"/>
  <c r="M6" i="19"/>
  <c r="F5" i="16"/>
  <c r="F4" i="16"/>
  <c r="M5" i="16"/>
  <c r="M4" i="15"/>
  <c r="M7" i="14"/>
  <c r="M5" i="13"/>
  <c r="M2" i="12"/>
  <c r="M7" i="11"/>
  <c r="M6" i="10"/>
  <c r="M3" i="9"/>
  <c r="M6" i="8"/>
  <c r="M10" i="8"/>
  <c r="M13" i="8"/>
  <c r="M3" i="7"/>
  <c r="M6" i="6"/>
  <c r="M10" i="6"/>
  <c r="M11" i="5"/>
  <c r="M10" i="5"/>
  <c r="M6" i="5"/>
  <c r="F4" i="5"/>
  <c r="F3" i="5"/>
  <c r="M12" i="1"/>
  <c r="M4" i="4"/>
  <c r="M11" i="3"/>
  <c r="M4" i="2"/>
  <c r="M13" i="3"/>
  <c r="M6" i="3"/>
</calcChain>
</file>

<file path=xl/sharedStrings.xml><?xml version="1.0" encoding="utf-8"?>
<sst xmlns="http://schemas.openxmlformats.org/spreadsheetml/2006/main" count="2521" uniqueCount="458">
  <si>
    <t>Laboratorio</t>
  </si>
  <si>
    <t>Producto</t>
  </si>
  <si>
    <t>Presentación</t>
  </si>
  <si>
    <t>PVP Feb 2026</t>
  </si>
  <si>
    <t>PVP Mar 2026</t>
  </si>
  <si>
    <t>PVP/Unidad</t>
  </si>
  <si>
    <t>Var %</t>
  </si>
  <si>
    <t>VS SIE</t>
  </si>
  <si>
    <t>VS Líder</t>
  </si>
  <si>
    <t>IQVIA MAT U.</t>
  </si>
  <si>
    <t>Share %</t>
  </si>
  <si>
    <t>Ranking</t>
  </si>
  <si>
    <t>AstraZeneca</t>
  </si>
  <si>
    <t>FORXIGA</t>
  </si>
  <si>
    <t>10 mg comp.x 28</t>
  </si>
  <si>
    <t>Líder</t>
  </si>
  <si>
    <t>Baliarda</t>
  </si>
  <si>
    <t>DAPAX</t>
  </si>
  <si>
    <t>10 mg comp.rec.x 30</t>
  </si>
  <si>
    <t>Adium</t>
  </si>
  <si>
    <t>FANTER</t>
  </si>
  <si>
    <t>10 mg comp. x 30</t>
  </si>
  <si>
    <t/>
  </si>
  <si>
    <t>Casasco</t>
  </si>
  <si>
    <t>NEDAL</t>
  </si>
  <si>
    <t>Elea</t>
  </si>
  <si>
    <t>DACTILUS</t>
  </si>
  <si>
    <t>10 mg comp.rec.x 28</t>
  </si>
  <si>
    <t>Bagó</t>
  </si>
  <si>
    <t>GLIFOSIN</t>
  </si>
  <si>
    <t>10/1000 mg comp. x 30</t>
  </si>
  <si>
    <t>Montpellier</t>
  </si>
  <si>
    <t>DAGLIBEN</t>
  </si>
  <si>
    <t>Roemmers</t>
  </si>
  <si>
    <t>ACUS</t>
  </si>
  <si>
    <t>Laboratorios Bernabó</t>
  </si>
  <si>
    <t>DAPABER</t>
  </si>
  <si>
    <t>Beta</t>
  </si>
  <si>
    <t>GLICINAL</t>
  </si>
  <si>
    <t>Siegfried ★ SIE</t>
  </si>
  <si>
    <t>DAURAN</t>
  </si>
  <si>
    <t>Richmond</t>
  </si>
  <si>
    <t>DONSYBA</t>
  </si>
  <si>
    <t>Teva Argentina</t>
  </si>
  <si>
    <t>JALORESE</t>
  </si>
  <si>
    <t>10 mg comp.rec. x 60</t>
  </si>
  <si>
    <t>Celnova Argentina</t>
  </si>
  <si>
    <t>DPG</t>
  </si>
  <si>
    <t>10 mg cáps.lib.prol.x 30</t>
  </si>
  <si>
    <t>CARVEDIL RETARD</t>
  </si>
  <si>
    <t>10 mg cáps.lib.prol.x 28</t>
  </si>
  <si>
    <t>20 mg cáps.lib.ext.x 30</t>
  </si>
  <si>
    <t>VERATEN UD</t>
  </si>
  <si>
    <t>10 mg cáps.x 30</t>
  </si>
  <si>
    <t>DILATREND AP</t>
  </si>
  <si>
    <t>10 mg cáps.lib.cont.x 28</t>
  </si>
  <si>
    <t>BIDECAR CR</t>
  </si>
  <si>
    <t>FILTEN LP</t>
  </si>
  <si>
    <t>Gador</t>
  </si>
  <si>
    <t>12.5 mg comp.x 60</t>
  </si>
  <si>
    <t>CARVEDILOL VANNIER</t>
  </si>
  <si>
    <t>Vannier</t>
  </si>
  <si>
    <t>12.5 mg comp.x 28</t>
  </si>
  <si>
    <t>KOLLOSTERIL</t>
  </si>
  <si>
    <t>Lafedar</t>
  </si>
  <si>
    <t>CARVEDILOL RICHET</t>
  </si>
  <si>
    <t>Richet</t>
  </si>
  <si>
    <t>12.50 mg comp.x 28</t>
  </si>
  <si>
    <t>VICARDOL</t>
  </si>
  <si>
    <t>12.5 mg comp.ran.x 28</t>
  </si>
  <si>
    <t>CORAFEN</t>
  </si>
  <si>
    <t>CARVICORD</t>
  </si>
  <si>
    <t>Géminis Farmacéutica</t>
  </si>
  <si>
    <t>12.5 mg comp.rec.x 30</t>
  </si>
  <si>
    <t>ENTARSOL</t>
  </si>
  <si>
    <t>Microsules Arg.</t>
  </si>
  <si>
    <t>12.5 mg comp.x 30</t>
  </si>
  <si>
    <t>ANTIBLOC</t>
  </si>
  <si>
    <t>Craveri</t>
  </si>
  <si>
    <t>CARVEDILOL BIOTENK</t>
  </si>
  <si>
    <t>Biotenk</t>
  </si>
  <si>
    <t>12.5 mg comp.x 56</t>
  </si>
  <si>
    <t>12.5 mg comp.birran.x 30</t>
  </si>
  <si>
    <t>CORUBIN</t>
  </si>
  <si>
    <t>Lazar</t>
  </si>
  <si>
    <t>CARVIPAW</t>
  </si>
  <si>
    <t>Rospaw</t>
  </si>
  <si>
    <t>VEDILEP</t>
  </si>
  <si>
    <t>Lepetit</t>
  </si>
  <si>
    <t>CARDIONORM</t>
  </si>
  <si>
    <t>Denver Farma</t>
  </si>
  <si>
    <t>12.5 mg comp.ran.x 60</t>
  </si>
  <si>
    <t>BIDECAR</t>
  </si>
  <si>
    <t>12.5 mg comp.ran.x 30</t>
  </si>
  <si>
    <t>12.5 mg comp.ran.x 56</t>
  </si>
  <si>
    <t>VERATEN</t>
  </si>
  <si>
    <t>DILATREND</t>
  </si>
  <si>
    <t>ISOBLOC</t>
  </si>
  <si>
    <t>CARVEDIL</t>
  </si>
  <si>
    <t>FILTEN</t>
  </si>
  <si>
    <t>20 mg cáps.lib.prol.x 28</t>
  </si>
  <si>
    <t>20 mg cáps.lib.prol.x 30</t>
  </si>
  <si>
    <t>20 mg cáps.x 30</t>
  </si>
  <si>
    <t>ISOBLOC CR</t>
  </si>
  <si>
    <t>20 mg cáps.lib.cont.x 28</t>
  </si>
  <si>
    <t>25 mg comp.x 60</t>
  </si>
  <si>
    <t>25 mg comp.ran.x 30</t>
  </si>
  <si>
    <t>HIPOTEN KLONAL</t>
  </si>
  <si>
    <t>Klonal</t>
  </si>
  <si>
    <t>25 mg comp.trirran.x 28</t>
  </si>
  <si>
    <t>VEDILEP 25</t>
  </si>
  <si>
    <t>25 mg comp.rec.x 30</t>
  </si>
  <si>
    <t>25 mg comp.x 28</t>
  </si>
  <si>
    <t>25 mg comp.x 30</t>
  </si>
  <si>
    <t>25 mg comp.ran.x 28</t>
  </si>
  <si>
    <t>25 mg comp.x 56</t>
  </si>
  <si>
    <t>25 mg comp.ran.x 60</t>
  </si>
  <si>
    <t>25 mg comp.ran.x 56</t>
  </si>
  <si>
    <t>3.125 mg comp.x 28</t>
  </si>
  <si>
    <t>3.125 mg comp.ran.x 60</t>
  </si>
  <si>
    <t>3.125 mg comp.ran.x 30</t>
  </si>
  <si>
    <t>3.125 mg comp.x 60</t>
  </si>
  <si>
    <t>3.125 mg comp.x 30</t>
  </si>
  <si>
    <t>3.125 mg comp.ran.x 28</t>
  </si>
  <si>
    <t>3.125 mg comp.ran.x 56</t>
  </si>
  <si>
    <t>40 mg cáps.lib.prol.x 30</t>
  </si>
  <si>
    <t>40 mg cáps.lib.prol.x 28</t>
  </si>
  <si>
    <t>40 mg cáps.lib.ext.x 30</t>
  </si>
  <si>
    <t>40 mg cáps.x 30</t>
  </si>
  <si>
    <t>40 mg cáps.lib.cont.x 28</t>
  </si>
  <si>
    <t>6.25 mg comp.x 28</t>
  </si>
  <si>
    <t>DUOBLOC</t>
  </si>
  <si>
    <t>Sidus</t>
  </si>
  <si>
    <t>6.25 mg comp.ran.x 28</t>
  </si>
  <si>
    <t>6.25 mg comp.x 60</t>
  </si>
  <si>
    <t>6.25 mg comp.x 30</t>
  </si>
  <si>
    <t>6.25 mg comp.rec.x 30</t>
  </si>
  <si>
    <t>-</t>
  </si>
  <si>
    <t>NEXOCARDIL</t>
  </si>
  <si>
    <t>NEXO PHARMA</t>
  </si>
  <si>
    <t>6.25 mg comp.ran.x 30</t>
  </si>
  <si>
    <t>6.25 mg comp.x 56</t>
  </si>
  <si>
    <t>6.25 mg comp.ran.x 60</t>
  </si>
  <si>
    <t>6.25 mg comp.ran.x 56</t>
  </si>
  <si>
    <t>80 mg cáps.lib.cont.x 28</t>
  </si>
  <si>
    <t>80 mg cáps.x 30</t>
  </si>
  <si>
    <t>80 mg cáps.lib.prol.x 30</t>
  </si>
  <si>
    <t>160 mg comp.rec.x 30 (x14/x30)</t>
  </si>
  <si>
    <t>SIMULTAN</t>
  </si>
  <si>
    <t>160 mg comp.rec.x 30 (x28/x30)</t>
  </si>
  <si>
    <t>160 mg comp.rec.x 30</t>
  </si>
  <si>
    <t>SEMANAR</t>
  </si>
  <si>
    <t>160 mg comp.rec.x 14</t>
  </si>
  <si>
    <t>HIPREX</t>
  </si>
  <si>
    <t>DIOVAN</t>
  </si>
  <si>
    <t>160 mg comp.x 60</t>
  </si>
  <si>
    <t>VALSALEP</t>
  </si>
  <si>
    <t>160 mg comp.rec.x 60</t>
  </si>
  <si>
    <t>RACORVAL</t>
  </si>
  <si>
    <t>160 mg comp.rec.x 15</t>
  </si>
  <si>
    <t>SARVAL</t>
  </si>
  <si>
    <t>comp.rec.x 28</t>
  </si>
  <si>
    <t>HIPERVAL</t>
  </si>
  <si>
    <t>160 mg comp.rec.x 28</t>
  </si>
  <si>
    <t>NICORVAS</t>
  </si>
  <si>
    <t>Temis-Lostaló</t>
  </si>
  <si>
    <t>ALPERTAN</t>
  </si>
  <si>
    <t>160 mg comp.x 30</t>
  </si>
  <si>
    <t>160 mg comp.x 28</t>
  </si>
  <si>
    <t>VALSARFEC</t>
  </si>
  <si>
    <t>Fecofar</t>
  </si>
  <si>
    <t>160 mg comp.rec.x 56</t>
  </si>
  <si>
    <t>DILCORAN</t>
  </si>
  <si>
    <t>COROSAN</t>
  </si>
  <si>
    <t>PALIAX</t>
  </si>
  <si>
    <t>DIAPRESAN</t>
  </si>
  <si>
    <t>80 mg comp.rec.x 30 (x28/x30)</t>
  </si>
  <si>
    <t>VALSARTAN TEVA</t>
  </si>
  <si>
    <t>TEVA</t>
  </si>
  <si>
    <t>80 mg comp.rec.x 30</t>
  </si>
  <si>
    <t>80 mg comp.rec.x 14</t>
  </si>
  <si>
    <t>80 mg comp.x 60</t>
  </si>
  <si>
    <t>80 mg comp.rec.x 15</t>
  </si>
  <si>
    <t>80 mg comp.rec.x 60</t>
  </si>
  <si>
    <t>80 mg comp.rec.x 28</t>
  </si>
  <si>
    <t>80 mg comp.x 30</t>
  </si>
  <si>
    <t>80 mg comp.x 28</t>
  </si>
  <si>
    <t>80 mg comp.rec.x 56</t>
  </si>
  <si>
    <t>160/12.5 mg comp.rec.x30</t>
  </si>
  <si>
    <t>DILCORAN D</t>
  </si>
  <si>
    <t>160/12.5 mg comp.rec.x14</t>
  </si>
  <si>
    <t>DIOVAN-D</t>
  </si>
  <si>
    <t>160/12.5 mg comp.rec.x56</t>
  </si>
  <si>
    <t>160/12.5 mg comp.x 30</t>
  </si>
  <si>
    <t>COROSAN D</t>
  </si>
  <si>
    <t>160/12.5mg comp.rec.x 30</t>
  </si>
  <si>
    <t>SIMULTAN D</t>
  </si>
  <si>
    <t>160/12.5 mg comp.rec.x28</t>
  </si>
  <si>
    <t>10mg comp.x 30</t>
  </si>
  <si>
    <t>BECIADIC</t>
  </si>
  <si>
    <t>ETRALAN</t>
  </si>
  <si>
    <t>DEMPI</t>
  </si>
  <si>
    <t>Eurofarma</t>
  </si>
  <si>
    <t>EMGLIBER</t>
  </si>
  <si>
    <t>ETACRIL</t>
  </si>
  <si>
    <t>DIFOGLIX</t>
  </si>
  <si>
    <t>EDAGAN</t>
  </si>
  <si>
    <t>EMADIAN</t>
  </si>
  <si>
    <t>Nolter</t>
  </si>
  <si>
    <t>EMPAX</t>
  </si>
  <si>
    <t>10 mg comp.x 30</t>
  </si>
  <si>
    <t>SAGLOX</t>
  </si>
  <si>
    <t>ENCLYNA</t>
  </si>
  <si>
    <t>JARDIANCE</t>
  </si>
  <si>
    <t>Boehringer Ingelheim</t>
  </si>
  <si>
    <t>5/850 comp.rec.x 60</t>
  </si>
  <si>
    <t>EMGLIBER MET</t>
  </si>
  <si>
    <t>EMADIANMET</t>
  </si>
  <si>
    <t>EMPAX MET</t>
  </si>
  <si>
    <t>EDAGAN MET</t>
  </si>
  <si>
    <t>5/1000 comp.rec.x 60</t>
  </si>
  <si>
    <t>SAGLOX MET</t>
  </si>
  <si>
    <t>JARDIANCE DUO</t>
  </si>
  <si>
    <t>50 mg comp.rec.x 30</t>
  </si>
  <si>
    <t>DUPERTAN</t>
  </si>
  <si>
    <t>RISTONEL</t>
  </si>
  <si>
    <t>ENTRESTO</t>
  </si>
  <si>
    <t>SIEGFRIED ★ SIE</t>
  </si>
  <si>
    <t>100 mg comp.rec.x 60</t>
  </si>
  <si>
    <t>200 mg comp.rec.x 60</t>
  </si>
  <si>
    <t>100 mg comp.rec.x 30</t>
  </si>
  <si>
    <t>2.5 mg comp.x 60</t>
  </si>
  <si>
    <t>PIXATEMIS</t>
  </si>
  <si>
    <t>PIXAR</t>
  </si>
  <si>
    <t>MANTIXA</t>
  </si>
  <si>
    <t>Megalabs Argentina</t>
  </si>
  <si>
    <t>GRIXAN</t>
  </si>
  <si>
    <t>UNIXIS</t>
  </si>
  <si>
    <t>SEGUMAX</t>
  </si>
  <si>
    <t>2.5 mg comp.x 30</t>
  </si>
  <si>
    <t>CIARAN</t>
  </si>
  <si>
    <t>2.5 mg comp.rec.x 60</t>
  </si>
  <si>
    <t>AXEPIN</t>
  </si>
  <si>
    <t>PIXABAN</t>
  </si>
  <si>
    <t>IXIPEN</t>
  </si>
  <si>
    <t>ELIQUIS</t>
  </si>
  <si>
    <t>Pfizer</t>
  </si>
  <si>
    <t>PRAXANT</t>
  </si>
  <si>
    <t>APITENA</t>
  </si>
  <si>
    <t>5 mg comp.x 60</t>
  </si>
  <si>
    <t>5 mg comp.x 30</t>
  </si>
  <si>
    <t>5mg comp.x 60</t>
  </si>
  <si>
    <t>5 mg comp.rec.x 60</t>
  </si>
  <si>
    <t>COLESTRAX</t>
  </si>
  <si>
    <t>Savant Generic</t>
  </si>
  <si>
    <t>ROVESTOR</t>
  </si>
  <si>
    <t>ROSUVASTATINA VANN</t>
  </si>
  <si>
    <t>10 mg comp.x 60</t>
  </si>
  <si>
    <t>ROSUCOL</t>
  </si>
  <si>
    <t>ROSTAN</t>
  </si>
  <si>
    <t>RABLOC</t>
  </si>
  <si>
    <t>LIPOGLUTAREN 10</t>
  </si>
  <si>
    <t>ROSULIP</t>
  </si>
  <si>
    <t>ROSUVASTATINA PFIZ</t>
  </si>
  <si>
    <t>PFIZER</t>
  </si>
  <si>
    <t>ROSUVASTATINA RICH</t>
  </si>
  <si>
    <t>ARTOMEY</t>
  </si>
  <si>
    <t>ROSUSTATIN</t>
  </si>
  <si>
    <t>TURBULINA</t>
  </si>
  <si>
    <t>10 mg comp.rec.x 56</t>
  </si>
  <si>
    <t>HIPOLIPOL</t>
  </si>
  <si>
    <t>10 mg comp.x 56</t>
  </si>
  <si>
    <t>ROSUVAST</t>
  </si>
  <si>
    <t>NONLIPID</t>
  </si>
  <si>
    <t>CRESTOR</t>
  </si>
  <si>
    <t>10 mg comp.rec.ran.x 60</t>
  </si>
  <si>
    <t>REOVEX</t>
  </si>
  <si>
    <t>ROVASTANE</t>
  </si>
  <si>
    <t>Eczane</t>
  </si>
  <si>
    <t>ASTENDE</t>
  </si>
  <si>
    <t>BILIP</t>
  </si>
  <si>
    <t>MESOTEROL</t>
  </si>
  <si>
    <t>Finadiet</t>
  </si>
  <si>
    <t>ROSUX</t>
  </si>
  <si>
    <t>ROSUBER</t>
  </si>
  <si>
    <t>NODIS 10</t>
  </si>
  <si>
    <t>10 mg comp.rec.x 60</t>
  </si>
  <si>
    <t>ROVARTAL</t>
  </si>
  <si>
    <t>ATERONOVA</t>
  </si>
  <si>
    <t>ROXOLAN</t>
  </si>
  <si>
    <t>ROSUFEC</t>
  </si>
  <si>
    <t>ROSUFEN</t>
  </si>
  <si>
    <t>SINLIP</t>
  </si>
  <si>
    <t>LIPEX</t>
  </si>
  <si>
    <t>10/10 mg comp.x 30</t>
  </si>
  <si>
    <t>10 mg comp.rec.ran.x 30</t>
  </si>
  <si>
    <t>APO-ROSUVASTATINA</t>
  </si>
  <si>
    <t>PHARMALEP</t>
  </si>
  <si>
    <t>20 mg comp. x 30</t>
  </si>
  <si>
    <t>20 mg comp.x 30</t>
  </si>
  <si>
    <t>TIALIPOL</t>
  </si>
  <si>
    <t>20 mg comp.x 28</t>
  </si>
  <si>
    <t>20 mg comp.x 30 (x28/x30)</t>
  </si>
  <si>
    <t>20 mg comp.ran.x 30</t>
  </si>
  <si>
    <t>APRENTICE</t>
  </si>
  <si>
    <t>Francelab</t>
  </si>
  <si>
    <t>20 mg comp.x 60</t>
  </si>
  <si>
    <t>20 mg comp.rec.x 30</t>
  </si>
  <si>
    <t>LIPOGLUTAREN 20</t>
  </si>
  <si>
    <t>20 mg comp.rec.x 56</t>
  </si>
  <si>
    <t>20 mg comp.rec.ran.x 60</t>
  </si>
  <si>
    <t>20 mg comp.x 56</t>
  </si>
  <si>
    <t>20 mg comp.rec.x 60</t>
  </si>
  <si>
    <t>20 mg comp.rec.x 28</t>
  </si>
  <si>
    <t>NODIS 20</t>
  </si>
  <si>
    <t>20/10 mg comp. x 30</t>
  </si>
  <si>
    <t>20 mg comp.rec.ran.x 30</t>
  </si>
  <si>
    <t>40 mg comp.x 30</t>
  </si>
  <si>
    <t>40 mg comp.trirran.x 20</t>
  </si>
  <si>
    <t>40 mg comp.rec.x 30</t>
  </si>
  <si>
    <t>40 mg comp.rec.x 28</t>
  </si>
  <si>
    <t>NODIS 40</t>
  </si>
  <si>
    <t>40 mg comp.x 28</t>
  </si>
  <si>
    <t>40 mg comp.rec.ran.x 30</t>
  </si>
  <si>
    <t>20/10 mg x30</t>
  </si>
  <si>
    <t>Rovartal EZ</t>
  </si>
  <si>
    <t>10/10 mg x30</t>
  </si>
  <si>
    <t>5/10 mg x30</t>
  </si>
  <si>
    <t>Roxolan Plus</t>
  </si>
  <si>
    <t>Precio público</t>
  </si>
  <si>
    <t>Marca</t>
  </si>
  <si>
    <t>ZUCIVA</t>
  </si>
  <si>
    <t>50 mg comp.x 28</t>
  </si>
  <si>
    <t>SIFEL</t>
  </si>
  <si>
    <t>ESLIPEL</t>
  </si>
  <si>
    <t>50 mg comp.x 30</t>
  </si>
  <si>
    <t>AGLIPTIN</t>
  </si>
  <si>
    <t>50 mg comp. rec.x 30</t>
  </si>
  <si>
    <t>SILTRAN</t>
  </si>
  <si>
    <t>SIGLIBER</t>
  </si>
  <si>
    <t>JALZER</t>
  </si>
  <si>
    <t>SIAGLIX</t>
  </si>
  <si>
    <t>SOTIL</t>
  </si>
  <si>
    <t>50 mg comp.rec.x 28</t>
  </si>
  <si>
    <t>XELEVIA</t>
  </si>
  <si>
    <t>JANUVIA</t>
  </si>
  <si>
    <t>MSD Argentina SRL</t>
  </si>
  <si>
    <t>100 mg comp.x 28</t>
  </si>
  <si>
    <t>100 mg comp.x 30</t>
  </si>
  <si>
    <t>100 mg comp. rec.x 30</t>
  </si>
  <si>
    <t>100 mg comp.rec.x 28</t>
  </si>
  <si>
    <t>50/1000 mg comp.x 30</t>
  </si>
  <si>
    <t>ESLIPEL MET</t>
  </si>
  <si>
    <t>JALZERMET</t>
  </si>
  <si>
    <t>AGLIPTIN MET</t>
  </si>
  <si>
    <t>50/1000 mg comp.rec.x 30</t>
  </si>
  <si>
    <t>SILTRAN MET</t>
  </si>
  <si>
    <t>50/1000 mg comp.x 60</t>
  </si>
  <si>
    <t>50/1000 mg comp.rec.x 60</t>
  </si>
  <si>
    <t>SIGLIBER MET</t>
  </si>
  <si>
    <t>SIAGLIX MET</t>
  </si>
  <si>
    <t>SOTIL MET</t>
  </si>
  <si>
    <t>50/1000 mg comp.x 28</t>
  </si>
  <si>
    <t>JANUMET</t>
  </si>
  <si>
    <t>50/1000 mg comp.rec.x 28</t>
  </si>
  <si>
    <t>XELEVIA MET</t>
  </si>
  <si>
    <t>SOTIL MET XR</t>
  </si>
  <si>
    <t>50/1000 mg comp.AP x 56</t>
  </si>
  <si>
    <t>JANUMET XR</t>
  </si>
  <si>
    <t>50/1000 mg comp.x 56</t>
  </si>
  <si>
    <t>50/1000 mg comp.rec.x 56</t>
  </si>
  <si>
    <t>50/500 mg comp.x 30</t>
  </si>
  <si>
    <t>50/500 mg comp. rec.x 30</t>
  </si>
  <si>
    <t>50/500 mg comp.rec.x 30</t>
  </si>
  <si>
    <t>50/500 mg comp.x 28</t>
  </si>
  <si>
    <t>50/500 mg comp.rec.x 28</t>
  </si>
  <si>
    <t>50/850 mg comp.x 30</t>
  </si>
  <si>
    <t>50/850 mg comp.x 60</t>
  </si>
  <si>
    <t>50/850 mg comp.rec.x 60</t>
  </si>
  <si>
    <t>50/850 mg comp. rec.x 30</t>
  </si>
  <si>
    <t>50/850 mg comp. rec.x 60</t>
  </si>
  <si>
    <t>50/850 mg comp.rec.x 28</t>
  </si>
  <si>
    <t>50/850 mg comp.x 56</t>
  </si>
  <si>
    <t>50/850 mg comp.rec.x 56</t>
  </si>
  <si>
    <t>4 mg comp.x 20</t>
  </si>
  <si>
    <t>FORTONOL</t>
  </si>
  <si>
    <t>ACENOCOUMAROL ROSP</t>
  </si>
  <si>
    <t>4 mg comp.x 30</t>
  </si>
  <si>
    <t>AZECAR</t>
  </si>
  <si>
    <t>SINTROM</t>
  </si>
  <si>
    <t>NEBIBLOC</t>
  </si>
  <si>
    <t>5 mg comp.x 28</t>
  </si>
  <si>
    <t>NEOBLOCK</t>
  </si>
  <si>
    <t>NEBICOR</t>
  </si>
  <si>
    <t>NEBIVOLOL DF</t>
  </si>
  <si>
    <t>DENVER FARMA</t>
  </si>
  <si>
    <t>5 mg comp.x 56</t>
  </si>
  <si>
    <t>NIRPOL</t>
  </si>
  <si>
    <t>SYNCROCOR</t>
  </si>
  <si>
    <t>5/12.5 mg comp.rec.x 60</t>
  </si>
  <si>
    <t>CORPRES</t>
  </si>
  <si>
    <t>MOBAN</t>
  </si>
  <si>
    <t>5 mg comp.birran.x 28</t>
  </si>
  <si>
    <t>NIDIB</t>
  </si>
  <si>
    <t>NEBIX</t>
  </si>
  <si>
    <t>5 mg comp.birran.x 30</t>
  </si>
  <si>
    <t>GADOCOR</t>
  </si>
  <si>
    <t>NEBILET</t>
  </si>
  <si>
    <t>NABILA</t>
  </si>
  <si>
    <t>AMLODIPINA DF</t>
  </si>
  <si>
    <t>AMLODIPINA HLB</t>
  </si>
  <si>
    <t>HLB PHARMA</t>
  </si>
  <si>
    <t>AMLOPAW</t>
  </si>
  <si>
    <t>10 mg comp.x 50</t>
  </si>
  <si>
    <t>AMLODIPINA RICHET</t>
  </si>
  <si>
    <t>ANGIOFILINA</t>
  </si>
  <si>
    <t>Fabra</t>
  </si>
  <si>
    <t>ABLOOM</t>
  </si>
  <si>
    <t>Duncan</t>
  </si>
  <si>
    <t>MITOKOR</t>
  </si>
  <si>
    <t>10 mg comp.x 30 (x10/x30)</t>
  </si>
  <si>
    <t>10 mg tab.x 30 (x20/x30)</t>
  </si>
  <si>
    <t>AMLOC</t>
  </si>
  <si>
    <t>Aspen Pharma</t>
  </si>
  <si>
    <t>COROVAL</t>
  </si>
  <si>
    <t>comp.ran.x 60</t>
  </si>
  <si>
    <t>AMLODICORD</t>
  </si>
  <si>
    <t>AMZE</t>
  </si>
  <si>
    <t>CALPRES</t>
  </si>
  <si>
    <t>AMLOSIDANE</t>
  </si>
  <si>
    <t>ECZANE</t>
  </si>
  <si>
    <t>AMLODIPINA VANNIER</t>
  </si>
  <si>
    <t>10 mg comp.ran.x 60</t>
  </si>
  <si>
    <t>ILDUC</t>
  </si>
  <si>
    <t>10 mg comp.x 10</t>
  </si>
  <si>
    <t>ANEXA</t>
  </si>
  <si>
    <t>comp.ran.x 30</t>
  </si>
  <si>
    <t>TERLOC</t>
  </si>
  <si>
    <t>10 mg comp.ran.x 30</t>
  </si>
  <si>
    <t>CARDIVAS</t>
  </si>
  <si>
    <t>10 mg tab.x 60</t>
  </si>
  <si>
    <t>TERVALON</t>
  </si>
  <si>
    <t>TENSIMED</t>
  </si>
  <si>
    <t>HIPERTENSAL</t>
  </si>
  <si>
    <t>INDALTEN</t>
  </si>
  <si>
    <t>ZUNDIC</t>
  </si>
  <si>
    <t>BRANCILINA</t>
  </si>
  <si>
    <t>PELMEC</t>
  </si>
  <si>
    <t>CARDIOREX</t>
  </si>
  <si>
    <t>10 mg tab.x 30</t>
  </si>
  <si>
    <t>ARTERIOSAN</t>
  </si>
  <si>
    <t>AMLOTENS</t>
  </si>
  <si>
    <t>5 mg comp.x 10</t>
  </si>
  <si>
    <t>5 mg comp.ran.x 60</t>
  </si>
  <si>
    <t>5 mg comp.ran.x 30</t>
  </si>
  <si>
    <t>5 mg comp.rec.x 30</t>
  </si>
  <si>
    <t>5 mg tab.x 60</t>
  </si>
  <si>
    <t>5 mg tab.x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</si>
</sst>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.0_-;\-* #,##0.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 applyNumberFormat="1"/>
    <xf numFmtId="164" fontId="0" fillId="0" borderId="0" xfId="0" applyNumberFormat="1"/>
    <xf numFmtId="0" fontId="0" fillId="2" borderId="0" xfId="0" applyNumberFormat="1" applyFill="1"/>
    <xf numFmtId="164" fontId="0" fillId="2" borderId="0" xfId="0" applyNumberFormat="1" applyFill="1"/>
    <xf numFmtId="0" fontId="0" fillId="3" borderId="0" xfId="0" applyNumberFormat="1" applyFill="1"/>
    <xf numFmtId="164" fontId="0" fillId="3" borderId="0" xfId="0" applyNumberFormat="1" applyFill="1"/>
    <xf numFmtId="0" fontId="0" fillId="0" borderId="0" xfId="0"/>
    <xf numFmtId="0" fontId="0" fillId="3" borderId="0" xfId="0" applyFill="1"/>
    <xf numFmtId="9" fontId="0" fillId="0" borderId="0" xfId="2" applyFont="1"/>
    <xf numFmtId="0" fontId="0" fillId="2" borderId="0" xfId="0" applyFill="1"/>
    <xf numFmtId="9" fontId="2" fillId="0" borderId="0" xfId="2" applyFont="1"/>
    <xf numFmtId="4" fontId="0" fillId="2" borderId="0" xfId="0" applyNumberFormat="1" applyFill="1" applyAlignment="1">
      <alignment horizontal="right"/>
    </xf>
    <xf numFmtId="4" fontId="0" fillId="2" borderId="0" xfId="0" applyNumberFormat="1" applyFill="1"/>
    <xf numFmtId="165" fontId="0" fillId="2" borderId="0" xfId="1" applyNumberFormat="1" applyFont="1" applyFill="1"/>
    <xf numFmtId="2" fontId="0" fillId="2" borderId="0" xfId="0" applyNumberFormat="1" applyFill="1"/>
    <xf numFmtId="2" fontId="0" fillId="3" borderId="0" xfId="0" applyNumberFormat="1" applyFill="1"/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vertical="center" wrapText="1"/>
    </xf>
    <xf numFmtId="0" fontId="3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3" fillId="0" borderId="0" xfId="0" applyNumberFormat="1" applyFont="1" applyAlignment="1">
      <alignment vertical="center" wrapText="1"/>
    </xf>
    <xf numFmtId="0" fontId="4" fillId="0" borderId="0" xfId="3" applyNumberFormat="1" applyAlignment="1">
      <alignment vertical="center" wrapText="1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B73C-77FA-42DA-B6B2-BE62EFE1D868}">
  <dimension ref="A1:M36"/>
  <sheetViews>
    <sheetView topLeftCell="C1" workbookViewId="0">
      <selection activeCell="M16" sqref="M16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6" t="s">
        <v>23</v>
      </c>
      <c r="B2" s="9" t="s">
        <v>447</v>
      </c>
      <c r="C2" s="9" t="s">
        <v>250</v>
      </c>
      <c r="D2" s="9">
        <v>15429.39</v>
      </c>
      <c r="E2" s="9">
        <v>15506.53</v>
      </c>
      <c r="F2" s="9">
        <v>516.88</v>
      </c>
      <c r="G2" s="3">
        <v>5.0000000000000001E-3</v>
      </c>
      <c r="H2" s="3">
        <v>-0.157</v>
      </c>
      <c r="I2" s="9" t="s">
        <v>15</v>
      </c>
      <c r="J2" s="9">
        <v>796072</v>
      </c>
      <c r="K2" s="3">
        <v>0.25</v>
      </c>
      <c r="L2" s="9">
        <v>1</v>
      </c>
    </row>
    <row r="3" spans="1:13" x14ac:dyDescent="0.35">
      <c r="A3" s="6" t="s">
        <v>16</v>
      </c>
      <c r="B3" s="6" t="s">
        <v>433</v>
      </c>
      <c r="C3" s="6" t="s">
        <v>454</v>
      </c>
      <c r="D3" s="6">
        <v>15414.08</v>
      </c>
      <c r="E3" s="6">
        <v>15645.29</v>
      </c>
      <c r="F3" s="6">
        <v>521.51</v>
      </c>
      <c r="G3" s="1">
        <v>1.4999999999999999E-2</v>
      </c>
      <c r="H3" s="1">
        <v>-0.14899999999999999</v>
      </c>
      <c r="I3" s="6">
        <v>-0.47899999999999998</v>
      </c>
      <c r="J3" s="6">
        <v>491911</v>
      </c>
      <c r="K3" s="1">
        <v>0.155</v>
      </c>
      <c r="L3" s="6">
        <v>2</v>
      </c>
    </row>
    <row r="4" spans="1:13" x14ac:dyDescent="0.35">
      <c r="A4" s="6" t="s">
        <v>35</v>
      </c>
      <c r="B4" s="6" t="s">
        <v>450</v>
      </c>
      <c r="C4" s="6" t="s">
        <v>250</v>
      </c>
      <c r="D4" s="6">
        <v>15424.29</v>
      </c>
      <c r="E4" s="6">
        <v>15578.53</v>
      </c>
      <c r="F4" s="6">
        <v>519.28</v>
      </c>
      <c r="G4" s="1">
        <v>0.01</v>
      </c>
      <c r="H4" s="1">
        <v>-0.153</v>
      </c>
      <c r="I4" s="6">
        <v>-0.48100000000000004</v>
      </c>
      <c r="J4" s="6">
        <v>313607</v>
      </c>
      <c r="K4" s="1">
        <v>9.9000000000000005E-2</v>
      </c>
      <c r="L4" s="6">
        <v>3</v>
      </c>
    </row>
    <row r="5" spans="1:13" x14ac:dyDescent="0.35">
      <c r="A5" s="6" t="s">
        <v>423</v>
      </c>
      <c r="B5" s="6" t="s">
        <v>422</v>
      </c>
      <c r="C5" s="6" t="s">
        <v>457</v>
      </c>
      <c r="D5" s="6">
        <v>21750.48</v>
      </c>
      <c r="E5" s="6">
        <v>22381.24</v>
      </c>
      <c r="F5" s="6">
        <v>746.04</v>
      </c>
      <c r="G5" s="1">
        <v>2.8999999999999998E-2</v>
      </c>
      <c r="H5" s="1">
        <v>0.217</v>
      </c>
      <c r="I5" s="6">
        <v>-0.255</v>
      </c>
      <c r="J5" s="6">
        <v>273100</v>
      </c>
      <c r="K5" s="1">
        <v>8.5999999999999993E-2</v>
      </c>
      <c r="L5" s="6">
        <v>4</v>
      </c>
    </row>
    <row r="6" spans="1:13" x14ac:dyDescent="0.35">
      <c r="A6" s="6" t="s">
        <v>28</v>
      </c>
      <c r="B6" s="6" t="s">
        <v>448</v>
      </c>
      <c r="C6" s="6" t="s">
        <v>250</v>
      </c>
      <c r="D6" s="6">
        <v>19106.5</v>
      </c>
      <c r="E6" s="6">
        <v>19106.5</v>
      </c>
      <c r="F6" s="6">
        <v>636.88</v>
      </c>
      <c r="G6" s="6" t="s">
        <v>22</v>
      </c>
      <c r="H6" s="1">
        <v>3.9E-2</v>
      </c>
      <c r="I6" s="6">
        <v>-0.36399999999999999</v>
      </c>
      <c r="J6" s="6">
        <v>205106</v>
      </c>
      <c r="K6" s="1">
        <v>6.4000000000000001E-2</v>
      </c>
      <c r="L6" s="6">
        <v>5</v>
      </c>
    </row>
    <row r="7" spans="1:13" x14ac:dyDescent="0.35">
      <c r="A7" s="6" t="s">
        <v>23</v>
      </c>
      <c r="B7" s="9" t="s">
        <v>447</v>
      </c>
      <c r="C7" s="9" t="s">
        <v>249</v>
      </c>
      <c r="D7" s="9">
        <v>29587.99</v>
      </c>
      <c r="E7" s="9">
        <v>30031.81</v>
      </c>
      <c r="F7" s="9">
        <v>500.53</v>
      </c>
      <c r="G7" s="3">
        <v>1.4999999999999999E-2</v>
      </c>
      <c r="H7" s="3">
        <v>0.63300000000000001</v>
      </c>
      <c r="I7" s="9" t="s">
        <v>15</v>
      </c>
      <c r="J7" s="9">
        <v>181603</v>
      </c>
      <c r="K7" s="3">
        <v>5.7000000000000002E-2</v>
      </c>
      <c r="L7" s="9">
        <v>6</v>
      </c>
    </row>
    <row r="8" spans="1:13" x14ac:dyDescent="0.35">
      <c r="A8" s="7" t="s">
        <v>39</v>
      </c>
      <c r="B8" s="7" t="s">
        <v>437</v>
      </c>
      <c r="C8" s="7" t="s">
        <v>250</v>
      </c>
      <c r="D8" s="7">
        <v>18392.28</v>
      </c>
      <c r="E8" s="7">
        <v>18392.28</v>
      </c>
      <c r="F8" s="7">
        <v>613.08000000000004</v>
      </c>
      <c r="G8" s="7" t="s">
        <v>22</v>
      </c>
      <c r="H8" s="7" t="s">
        <v>22</v>
      </c>
      <c r="I8" s="7">
        <v>-0.38799999999999996</v>
      </c>
      <c r="J8" s="7">
        <v>145556</v>
      </c>
      <c r="K8" s="5">
        <v>4.5999999999999999E-2</v>
      </c>
      <c r="L8" s="7">
        <v>7</v>
      </c>
      <c r="M8" s="10">
        <f>+F2/F8-1</f>
        <v>-0.15691263782866838</v>
      </c>
    </row>
    <row r="9" spans="1:13" x14ac:dyDescent="0.35">
      <c r="A9" s="6" t="s">
        <v>33</v>
      </c>
      <c r="B9" s="6" t="s">
        <v>424</v>
      </c>
      <c r="C9" s="6" t="s">
        <v>250</v>
      </c>
      <c r="D9" s="6">
        <v>14981</v>
      </c>
      <c r="E9" s="6">
        <v>15206</v>
      </c>
      <c r="F9" s="6">
        <v>506.87</v>
      </c>
      <c r="G9" s="1">
        <v>1.4999999999999999E-2</v>
      </c>
      <c r="H9" s="1">
        <v>-0.17300000000000001</v>
      </c>
      <c r="I9" s="6">
        <v>-0.49399999999999999</v>
      </c>
      <c r="J9" s="6">
        <v>145290</v>
      </c>
      <c r="K9" s="1">
        <v>4.5999999999999999E-2</v>
      </c>
      <c r="L9" s="6">
        <v>8</v>
      </c>
    </row>
    <row r="10" spans="1:13" x14ac:dyDescent="0.35">
      <c r="A10" s="6" t="s">
        <v>170</v>
      </c>
      <c r="B10" s="6" t="s">
        <v>446</v>
      </c>
      <c r="C10" s="6" t="s">
        <v>250</v>
      </c>
      <c r="D10" s="6">
        <v>11565.18</v>
      </c>
      <c r="E10" s="6">
        <v>11796.48</v>
      </c>
      <c r="F10" s="6">
        <v>393.22</v>
      </c>
      <c r="G10" s="1">
        <v>0.02</v>
      </c>
      <c r="H10" s="1">
        <v>-0.35899999999999999</v>
      </c>
      <c r="I10" s="6">
        <v>-0.60699999999999998</v>
      </c>
      <c r="J10" s="6">
        <v>78222</v>
      </c>
      <c r="K10" s="1">
        <v>2.5000000000000001E-2</v>
      </c>
      <c r="L10" s="6">
        <v>9</v>
      </c>
    </row>
    <row r="11" spans="1:13" x14ac:dyDescent="0.35">
      <c r="A11" s="6" t="s">
        <v>208</v>
      </c>
      <c r="B11" s="6" t="s">
        <v>445</v>
      </c>
      <c r="C11" s="6" t="s">
        <v>250</v>
      </c>
      <c r="D11" s="6">
        <v>19451.439999999999</v>
      </c>
      <c r="E11" s="6">
        <v>19451.439999999999</v>
      </c>
      <c r="F11" s="6">
        <v>648.38</v>
      </c>
      <c r="G11" s="6" t="s">
        <v>22</v>
      </c>
      <c r="H11" s="1">
        <v>5.7999999999999996E-2</v>
      </c>
      <c r="I11" s="6">
        <v>-0.35200000000000004</v>
      </c>
      <c r="J11" s="6">
        <v>74775</v>
      </c>
      <c r="K11" s="1">
        <v>2.3E-2</v>
      </c>
      <c r="L11" s="6">
        <v>10</v>
      </c>
    </row>
    <row r="12" spans="1:13" x14ac:dyDescent="0.35">
      <c r="A12" s="6" t="s">
        <v>423</v>
      </c>
      <c r="B12" s="6" t="s">
        <v>422</v>
      </c>
      <c r="C12" s="6" t="s">
        <v>456</v>
      </c>
      <c r="D12" s="6">
        <v>37841.53</v>
      </c>
      <c r="E12" s="6">
        <v>38938.93</v>
      </c>
      <c r="F12" s="6">
        <v>648.98</v>
      </c>
      <c r="G12" s="1">
        <v>2.8999999999999998E-2</v>
      </c>
      <c r="H12" s="1">
        <v>1.117</v>
      </c>
      <c r="I12" s="6">
        <v>0.29699999999999999</v>
      </c>
      <c r="J12" s="6">
        <v>74583</v>
      </c>
      <c r="K12" s="1">
        <v>2.3E-2</v>
      </c>
      <c r="L12" s="6">
        <v>11</v>
      </c>
    </row>
    <row r="13" spans="1:13" x14ac:dyDescent="0.35">
      <c r="A13" s="6" t="s">
        <v>31</v>
      </c>
      <c r="B13" s="6" t="s">
        <v>444</v>
      </c>
      <c r="C13" s="6" t="s">
        <v>250</v>
      </c>
      <c r="D13" s="6">
        <v>15518.25</v>
      </c>
      <c r="E13" s="6">
        <v>15518.25</v>
      </c>
      <c r="F13" s="6">
        <v>517.27</v>
      </c>
      <c r="G13" s="6" t="s">
        <v>22</v>
      </c>
      <c r="H13" s="1">
        <v>-0.156</v>
      </c>
      <c r="I13" s="6">
        <v>-0.48299999999999998</v>
      </c>
      <c r="J13" s="6">
        <v>74257</v>
      </c>
      <c r="K13" s="1">
        <v>2.3E-2</v>
      </c>
      <c r="L13" s="6">
        <v>12</v>
      </c>
    </row>
    <row r="14" spans="1:13" x14ac:dyDescent="0.35">
      <c r="A14" s="6" t="s">
        <v>66</v>
      </c>
      <c r="B14" s="6" t="s">
        <v>414</v>
      </c>
      <c r="C14" s="6" t="s">
        <v>250</v>
      </c>
      <c r="D14" s="6">
        <v>12217.58</v>
      </c>
      <c r="E14" s="6">
        <v>12217.58</v>
      </c>
      <c r="F14" s="6">
        <v>407.25</v>
      </c>
      <c r="G14" s="6" t="s">
        <v>22</v>
      </c>
      <c r="H14" s="1">
        <v>-0.33600000000000002</v>
      </c>
      <c r="I14" s="6">
        <v>-0.59299999999999997</v>
      </c>
      <c r="J14" s="6">
        <v>52795</v>
      </c>
      <c r="K14" s="1">
        <v>1.7000000000000001E-2</v>
      </c>
      <c r="L14" s="6">
        <v>13</v>
      </c>
    </row>
    <row r="15" spans="1:13" x14ac:dyDescent="0.35">
      <c r="A15" s="6" t="s">
        <v>88</v>
      </c>
      <c r="B15" s="6" t="s">
        <v>442</v>
      </c>
      <c r="C15" s="6" t="s">
        <v>455</v>
      </c>
      <c r="D15" s="6">
        <v>14180</v>
      </c>
      <c r="E15" s="6">
        <v>14460</v>
      </c>
      <c r="F15" s="6">
        <v>482</v>
      </c>
      <c r="G15" s="1">
        <v>0.02</v>
      </c>
      <c r="H15" s="1">
        <v>-0.214</v>
      </c>
      <c r="I15" s="6">
        <v>-0.51900000000000002</v>
      </c>
      <c r="J15" s="6">
        <v>48763</v>
      </c>
      <c r="K15" s="1">
        <v>1.4999999999999999E-2</v>
      </c>
      <c r="L15" s="6">
        <v>14</v>
      </c>
    </row>
    <row r="16" spans="1:13" x14ac:dyDescent="0.35">
      <c r="A16" s="7" t="s">
        <v>39</v>
      </c>
      <c r="B16" s="7" t="s">
        <v>437</v>
      </c>
      <c r="C16" s="7" t="s">
        <v>249</v>
      </c>
      <c r="D16" s="7">
        <v>36035.49</v>
      </c>
      <c r="E16" s="7">
        <v>36035.49</v>
      </c>
      <c r="F16" s="7">
        <v>600.59</v>
      </c>
      <c r="G16" s="7" t="s">
        <v>22</v>
      </c>
      <c r="H16" s="7" t="s">
        <v>22</v>
      </c>
      <c r="I16" s="7">
        <v>0.2</v>
      </c>
      <c r="J16" s="7">
        <v>31917</v>
      </c>
      <c r="K16" s="5">
        <v>0.01</v>
      </c>
      <c r="L16" s="7">
        <v>15</v>
      </c>
      <c r="M16" s="10">
        <f>+F7/F16-1</f>
        <v>-0.16660284054013563</v>
      </c>
    </row>
    <row r="17" spans="1:12" x14ac:dyDescent="0.35">
      <c r="A17" s="6" t="s">
        <v>84</v>
      </c>
      <c r="B17" s="6" t="s">
        <v>441</v>
      </c>
      <c r="C17" s="6" t="s">
        <v>250</v>
      </c>
      <c r="D17" s="6">
        <v>15233.74</v>
      </c>
      <c r="E17" s="6">
        <v>15233.74</v>
      </c>
      <c r="F17" s="6">
        <v>507.79</v>
      </c>
      <c r="G17" s="6" t="s">
        <v>22</v>
      </c>
      <c r="H17" s="1">
        <v>-0.17199999999999999</v>
      </c>
      <c r="I17" s="6">
        <v>-0.49299999999999999</v>
      </c>
      <c r="J17" s="6">
        <v>29125</v>
      </c>
      <c r="K17" s="1">
        <v>9.0000000000000011E-3</v>
      </c>
      <c r="L17" s="6">
        <v>16</v>
      </c>
    </row>
    <row r="18" spans="1:12" x14ac:dyDescent="0.35">
      <c r="A18" s="6" t="s">
        <v>282</v>
      </c>
      <c r="B18" s="6" t="s">
        <v>443</v>
      </c>
      <c r="C18" s="6" t="s">
        <v>250</v>
      </c>
      <c r="D18" s="6">
        <v>15169.07</v>
      </c>
      <c r="E18" s="6">
        <v>15169.07</v>
      </c>
      <c r="F18" s="6">
        <v>505.64</v>
      </c>
      <c r="G18" s="6" t="s">
        <v>22</v>
      </c>
      <c r="H18" s="1">
        <v>-0.17499999999999999</v>
      </c>
      <c r="I18" s="6">
        <v>-0.495</v>
      </c>
      <c r="J18" s="6">
        <v>25281</v>
      </c>
      <c r="K18" s="1">
        <v>8.0000000000000002E-3</v>
      </c>
      <c r="L18" s="6">
        <v>17</v>
      </c>
    </row>
    <row r="19" spans="1:12" x14ac:dyDescent="0.35">
      <c r="A19" s="6" t="s">
        <v>132</v>
      </c>
      <c r="B19" s="6" t="s">
        <v>439</v>
      </c>
      <c r="C19" s="6" t="s">
        <v>454</v>
      </c>
      <c r="D19" s="6">
        <v>14930.95</v>
      </c>
      <c r="E19" s="6">
        <v>14930.95</v>
      </c>
      <c r="F19" s="6">
        <v>497.7</v>
      </c>
      <c r="G19" s="6" t="s">
        <v>22</v>
      </c>
      <c r="H19" s="1">
        <v>-0.188</v>
      </c>
      <c r="I19" s="6">
        <v>-0.503</v>
      </c>
      <c r="J19" s="6">
        <v>23918</v>
      </c>
      <c r="K19" s="1">
        <v>8.0000000000000002E-3</v>
      </c>
      <c r="L19" s="6">
        <v>18</v>
      </c>
    </row>
    <row r="20" spans="1:12" x14ac:dyDescent="0.35">
      <c r="A20" s="6" t="s">
        <v>165</v>
      </c>
      <c r="B20" s="6" t="s">
        <v>428</v>
      </c>
      <c r="C20" s="6" t="s">
        <v>250</v>
      </c>
      <c r="D20" s="6">
        <v>18106.53</v>
      </c>
      <c r="E20" s="6">
        <v>18522.98</v>
      </c>
      <c r="F20" s="6">
        <v>617.42999999999995</v>
      </c>
      <c r="G20" s="1">
        <v>2.3E-2</v>
      </c>
      <c r="H20" s="1">
        <v>6.9999999999999993E-3</v>
      </c>
      <c r="I20" s="6">
        <v>-0.38299999999999995</v>
      </c>
      <c r="J20" s="6">
        <v>22077</v>
      </c>
      <c r="K20" s="1">
        <v>6.9999999999999993E-3</v>
      </c>
      <c r="L20" s="6">
        <v>19</v>
      </c>
    </row>
    <row r="21" spans="1:12" x14ac:dyDescent="0.35">
      <c r="A21" s="6" t="s">
        <v>72</v>
      </c>
      <c r="B21" s="6" t="s">
        <v>426</v>
      </c>
      <c r="C21" s="6" t="s">
        <v>436</v>
      </c>
      <c r="D21" s="6">
        <v>14148.85</v>
      </c>
      <c r="E21" s="6">
        <v>14431.83</v>
      </c>
      <c r="F21" s="6">
        <v>481.06</v>
      </c>
      <c r="G21" s="1">
        <v>0.02</v>
      </c>
      <c r="H21" s="1">
        <v>-0.215</v>
      </c>
      <c r="I21" s="6">
        <v>-0.51900000000000002</v>
      </c>
      <c r="J21" s="6">
        <v>20254</v>
      </c>
      <c r="K21" s="1">
        <v>6.0000000000000001E-3</v>
      </c>
      <c r="L21" s="6">
        <v>20</v>
      </c>
    </row>
    <row r="22" spans="1:12" x14ac:dyDescent="0.35">
      <c r="A22" s="6" t="s">
        <v>86</v>
      </c>
      <c r="B22" s="6" t="s">
        <v>412</v>
      </c>
      <c r="C22" s="6" t="s">
        <v>250</v>
      </c>
      <c r="D22" s="6">
        <v>15573.5</v>
      </c>
      <c r="E22" s="6">
        <v>15573.5</v>
      </c>
      <c r="F22" s="6">
        <v>519.12</v>
      </c>
      <c r="G22" s="6" t="s">
        <v>22</v>
      </c>
      <c r="H22" s="1">
        <v>-0.153</v>
      </c>
      <c r="I22" s="6">
        <v>-0.48100000000000004</v>
      </c>
      <c r="J22" s="6">
        <v>13481</v>
      </c>
      <c r="K22" s="1">
        <v>4.0000000000000001E-3</v>
      </c>
      <c r="L22" s="6">
        <v>21</v>
      </c>
    </row>
    <row r="23" spans="1:12" x14ac:dyDescent="0.35">
      <c r="A23" s="6" t="s">
        <v>75</v>
      </c>
      <c r="B23" s="6" t="s">
        <v>435</v>
      </c>
      <c r="C23" s="6" t="s">
        <v>250</v>
      </c>
      <c r="D23" s="6">
        <v>16344.58</v>
      </c>
      <c r="E23" s="6">
        <v>16834.920000000002</v>
      </c>
      <c r="F23" s="6">
        <v>561.16</v>
      </c>
      <c r="G23" s="1">
        <v>0.03</v>
      </c>
      <c r="H23" s="1">
        <v>-8.5000000000000006E-2</v>
      </c>
      <c r="I23" s="6">
        <v>-0.439</v>
      </c>
      <c r="J23" s="6">
        <v>12692</v>
      </c>
      <c r="K23" s="1">
        <v>4.0000000000000001E-3</v>
      </c>
      <c r="L23" s="6">
        <v>22</v>
      </c>
    </row>
    <row r="24" spans="1:12" x14ac:dyDescent="0.35">
      <c r="A24" s="6" t="s">
        <v>16</v>
      </c>
      <c r="B24" s="6" t="s">
        <v>433</v>
      </c>
      <c r="C24" s="6" t="s">
        <v>453</v>
      </c>
      <c r="D24" s="6">
        <v>28687.48</v>
      </c>
      <c r="E24" s="6">
        <v>29490.73</v>
      </c>
      <c r="F24" s="6">
        <v>491.51</v>
      </c>
      <c r="G24" s="1">
        <v>2.7999999999999997E-2</v>
      </c>
      <c r="H24" s="1">
        <v>0.60299999999999998</v>
      </c>
      <c r="I24" s="6">
        <v>-1.8000000000000002E-2</v>
      </c>
      <c r="J24" s="6">
        <v>11122</v>
      </c>
      <c r="K24" s="1">
        <v>3.0000000000000001E-3</v>
      </c>
      <c r="L24" s="6">
        <v>23</v>
      </c>
    </row>
    <row r="25" spans="1:12" x14ac:dyDescent="0.35">
      <c r="A25" s="6" t="s">
        <v>86</v>
      </c>
      <c r="B25" s="6" t="s">
        <v>412</v>
      </c>
      <c r="C25" s="6" t="s">
        <v>452</v>
      </c>
      <c r="D25" s="6">
        <v>8998.630000000001</v>
      </c>
      <c r="E25" s="6">
        <v>9178.6</v>
      </c>
      <c r="F25" s="6">
        <v>917.86</v>
      </c>
      <c r="G25" s="1">
        <v>0.02</v>
      </c>
      <c r="H25" s="1">
        <v>-0.501</v>
      </c>
      <c r="I25" s="6">
        <v>-0.69400000000000006</v>
      </c>
      <c r="J25" s="6">
        <v>9434</v>
      </c>
      <c r="K25" s="1">
        <v>3.0000000000000001E-3</v>
      </c>
      <c r="L25" s="6">
        <v>24</v>
      </c>
    </row>
    <row r="26" spans="1:12" x14ac:dyDescent="0.35">
      <c r="A26" s="6" t="s">
        <v>72</v>
      </c>
      <c r="B26" s="6" t="s">
        <v>426</v>
      </c>
      <c r="C26" s="6" t="s">
        <v>425</v>
      </c>
      <c r="D26" s="6">
        <v>27950</v>
      </c>
      <c r="E26" s="6">
        <v>28509</v>
      </c>
      <c r="F26" s="6">
        <v>475.15</v>
      </c>
      <c r="G26" s="1">
        <v>0.02</v>
      </c>
      <c r="H26" s="1">
        <v>0.55000000000000004</v>
      </c>
      <c r="I26" s="6">
        <v>-5.0999999999999997E-2</v>
      </c>
      <c r="J26" s="6">
        <v>5759</v>
      </c>
      <c r="K26" s="1">
        <v>2E-3</v>
      </c>
      <c r="L26" s="6">
        <v>25</v>
      </c>
    </row>
    <row r="27" spans="1:12" x14ac:dyDescent="0.35">
      <c r="A27" s="6" t="s">
        <v>33</v>
      </c>
      <c r="B27" s="6" t="s">
        <v>424</v>
      </c>
      <c r="C27" s="6" t="s">
        <v>249</v>
      </c>
      <c r="D27" s="6">
        <v>28723</v>
      </c>
      <c r="E27" s="6">
        <v>29510</v>
      </c>
      <c r="F27" s="6">
        <v>491.83</v>
      </c>
      <c r="G27" s="1">
        <v>2.7000000000000003E-2</v>
      </c>
      <c r="H27" s="1">
        <v>0.60399999999999998</v>
      </c>
      <c r="I27" s="6">
        <v>-1.7000000000000001E-2</v>
      </c>
      <c r="J27" s="6">
        <v>5547</v>
      </c>
      <c r="K27" s="1">
        <v>2E-3</v>
      </c>
      <c r="L27" s="6">
        <v>26</v>
      </c>
    </row>
    <row r="28" spans="1:12" x14ac:dyDescent="0.35">
      <c r="A28" s="6" t="s">
        <v>165</v>
      </c>
      <c r="B28" s="6" t="s">
        <v>428</v>
      </c>
      <c r="C28" s="6" t="s">
        <v>249</v>
      </c>
      <c r="D28" s="6">
        <v>35454.870000000003</v>
      </c>
      <c r="E28" s="6">
        <v>36270.340000000004</v>
      </c>
      <c r="F28" s="6">
        <v>604.51</v>
      </c>
      <c r="G28" s="1">
        <v>2.3E-2</v>
      </c>
      <c r="H28" s="1">
        <v>0.97199999999999998</v>
      </c>
      <c r="I28" s="6">
        <v>0.20800000000000002</v>
      </c>
      <c r="J28" s="6">
        <v>5447</v>
      </c>
      <c r="K28" s="1">
        <v>2E-3</v>
      </c>
      <c r="L28" s="6">
        <v>27</v>
      </c>
    </row>
    <row r="29" spans="1:12" x14ac:dyDescent="0.35">
      <c r="A29" s="6" t="s">
        <v>61</v>
      </c>
      <c r="B29" s="6" t="s">
        <v>431</v>
      </c>
      <c r="C29" s="6" t="s">
        <v>250</v>
      </c>
      <c r="D29" s="6">
        <v>15535.25</v>
      </c>
      <c r="E29" s="6">
        <v>15535.25</v>
      </c>
      <c r="F29" s="6">
        <v>517.84</v>
      </c>
      <c r="G29" s="6" t="s">
        <v>22</v>
      </c>
      <c r="H29" s="1">
        <v>-0.155</v>
      </c>
      <c r="I29" s="6">
        <v>-0.48299999999999998</v>
      </c>
      <c r="J29" s="6">
        <v>4798</v>
      </c>
      <c r="K29" s="1">
        <v>2E-3</v>
      </c>
      <c r="L29" s="6">
        <v>28</v>
      </c>
    </row>
    <row r="30" spans="1:12" x14ac:dyDescent="0.35">
      <c r="A30" s="6" t="s">
        <v>41</v>
      </c>
      <c r="B30" s="6" t="s">
        <v>427</v>
      </c>
      <c r="C30" s="6" t="s">
        <v>391</v>
      </c>
      <c r="D30" s="6">
        <v>19183.170000000002</v>
      </c>
      <c r="E30" s="6">
        <v>19375</v>
      </c>
      <c r="F30" s="6">
        <v>691.96</v>
      </c>
      <c r="G30" s="1">
        <v>0.01</v>
      </c>
      <c r="H30" s="1">
        <v>5.2999999999999999E-2</v>
      </c>
      <c r="I30" s="6">
        <v>-0.35499999999999998</v>
      </c>
      <c r="J30" s="6">
        <v>2916</v>
      </c>
      <c r="K30" s="1">
        <v>1E-3</v>
      </c>
      <c r="L30" s="6">
        <v>29</v>
      </c>
    </row>
    <row r="31" spans="1:12" x14ac:dyDescent="0.35">
      <c r="A31" s="6" t="s">
        <v>430</v>
      </c>
      <c r="B31" s="6" t="s">
        <v>429</v>
      </c>
      <c r="C31" s="6" t="s">
        <v>137</v>
      </c>
      <c r="D31" s="6" t="s">
        <v>22</v>
      </c>
      <c r="E31" s="6" t="s">
        <v>22</v>
      </c>
      <c r="F31" s="6" t="s">
        <v>22</v>
      </c>
      <c r="G31" s="6" t="s">
        <v>22</v>
      </c>
      <c r="H31" s="6" t="s">
        <v>22</v>
      </c>
      <c r="I31" s="6" t="s">
        <v>22</v>
      </c>
      <c r="J31" s="6">
        <v>2026</v>
      </c>
      <c r="K31" s="1">
        <v>1E-3</v>
      </c>
      <c r="L31" s="6">
        <v>30</v>
      </c>
    </row>
    <row r="32" spans="1:12" x14ac:dyDescent="0.35">
      <c r="A32" s="6" t="s">
        <v>86</v>
      </c>
      <c r="B32" s="6" t="s">
        <v>412</v>
      </c>
      <c r="C32" s="6" t="s">
        <v>249</v>
      </c>
      <c r="D32" s="6">
        <v>32993.06</v>
      </c>
      <c r="E32" s="6">
        <v>32993.06</v>
      </c>
      <c r="F32" s="6">
        <v>549.88</v>
      </c>
      <c r="G32" s="6" t="s">
        <v>22</v>
      </c>
      <c r="H32" s="1">
        <v>0.79400000000000004</v>
      </c>
      <c r="I32" s="6">
        <v>9.9000000000000005E-2</v>
      </c>
      <c r="J32" s="6">
        <v>939</v>
      </c>
      <c r="K32" s="6" t="s">
        <v>22</v>
      </c>
      <c r="L32" s="6">
        <v>31</v>
      </c>
    </row>
    <row r="33" spans="1:12" x14ac:dyDescent="0.35">
      <c r="A33" s="6" t="s">
        <v>80</v>
      </c>
      <c r="B33" s="6" t="s">
        <v>419</v>
      </c>
      <c r="C33" s="6" t="s">
        <v>250</v>
      </c>
      <c r="D33" s="6">
        <v>13978.78</v>
      </c>
      <c r="E33" s="6">
        <v>14398.14</v>
      </c>
      <c r="F33" s="6">
        <v>479.94</v>
      </c>
      <c r="G33" s="1">
        <v>0.03</v>
      </c>
      <c r="H33" s="1">
        <v>-0.217</v>
      </c>
      <c r="I33" s="6">
        <v>-0.52100000000000002</v>
      </c>
      <c r="J33" s="6">
        <v>828</v>
      </c>
      <c r="K33" s="6" t="s">
        <v>22</v>
      </c>
      <c r="L33" s="6">
        <v>32</v>
      </c>
    </row>
    <row r="34" spans="1:12" x14ac:dyDescent="0.35">
      <c r="A34" s="6" t="s">
        <v>66</v>
      </c>
      <c r="B34" s="6" t="s">
        <v>414</v>
      </c>
      <c r="C34" s="6" t="s">
        <v>252</v>
      </c>
      <c r="D34" s="6">
        <v>27507.850000000002</v>
      </c>
      <c r="E34" s="6">
        <v>27507.850000000002</v>
      </c>
      <c r="F34" s="6">
        <v>458.46</v>
      </c>
      <c r="G34" s="6" t="s">
        <v>22</v>
      </c>
      <c r="H34" s="1">
        <v>0.496</v>
      </c>
      <c r="I34" s="6">
        <v>-8.4000000000000005E-2</v>
      </c>
      <c r="J34" s="6">
        <v>211</v>
      </c>
      <c r="K34" s="6" t="s">
        <v>22</v>
      </c>
      <c r="L34" s="6">
        <v>33</v>
      </c>
    </row>
    <row r="35" spans="1:12" x14ac:dyDescent="0.35">
      <c r="A35" s="6" t="s">
        <v>416</v>
      </c>
      <c r="B35" s="6" t="s">
        <v>415</v>
      </c>
      <c r="C35" s="6" t="s">
        <v>250</v>
      </c>
      <c r="D35" s="6">
        <v>16082</v>
      </c>
      <c r="E35" s="6">
        <v>16548</v>
      </c>
      <c r="F35" s="6">
        <v>551.6</v>
      </c>
      <c r="G35" s="1">
        <v>2.8999999999999998E-2</v>
      </c>
      <c r="H35" s="1">
        <v>-0.1</v>
      </c>
      <c r="I35" s="6">
        <v>-0.44900000000000001</v>
      </c>
      <c r="J35" s="6">
        <v>155</v>
      </c>
      <c r="K35" s="6" t="s">
        <v>22</v>
      </c>
      <c r="L35" s="6">
        <v>34</v>
      </c>
    </row>
    <row r="36" spans="1:12" x14ac:dyDescent="0.35">
      <c r="A36" s="6" t="s">
        <v>108</v>
      </c>
      <c r="B36" s="6" t="s">
        <v>451</v>
      </c>
      <c r="C36" s="6" t="s">
        <v>250</v>
      </c>
      <c r="D36" s="6">
        <v>9343.06</v>
      </c>
      <c r="E36" s="6">
        <v>9343.06</v>
      </c>
      <c r="F36" s="6">
        <v>311.44</v>
      </c>
      <c r="G36" s="6" t="s">
        <v>22</v>
      </c>
      <c r="H36" s="1">
        <v>-0.49200000000000005</v>
      </c>
      <c r="I36" s="6">
        <v>-0.68900000000000006</v>
      </c>
      <c r="J36" s="6">
        <v>49</v>
      </c>
      <c r="K36" s="6" t="s">
        <v>22</v>
      </c>
      <c r="L36" s="6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C75E3-F74E-4610-835B-18A0A8472654}">
  <dimension ref="A1:M41"/>
  <sheetViews>
    <sheetView topLeftCell="C1" workbookViewId="0">
      <selection activeCell="M6" sqref="M6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9" t="s">
        <v>23</v>
      </c>
      <c r="B2" s="9" t="s">
        <v>447</v>
      </c>
      <c r="C2" s="9" t="s">
        <v>210</v>
      </c>
      <c r="D2" s="9">
        <v>28575.33</v>
      </c>
      <c r="E2" s="9">
        <v>28718.2</v>
      </c>
      <c r="F2" s="9">
        <v>957.27</v>
      </c>
      <c r="G2" s="3">
        <v>5.0000000000000001E-3</v>
      </c>
      <c r="H2" s="3">
        <v>-0.152</v>
      </c>
      <c r="I2" s="9" t="s">
        <v>15</v>
      </c>
      <c r="J2" s="9">
        <v>553273</v>
      </c>
      <c r="K2" s="3">
        <v>0.23600000000000002</v>
      </c>
      <c r="L2" s="9">
        <v>1</v>
      </c>
    </row>
    <row r="3" spans="1:13" x14ac:dyDescent="0.35">
      <c r="A3" s="6" t="s">
        <v>16</v>
      </c>
      <c r="B3" s="6" t="s">
        <v>433</v>
      </c>
      <c r="C3" s="6" t="s">
        <v>438</v>
      </c>
      <c r="D3" s="6">
        <v>28554.420000000002</v>
      </c>
      <c r="E3" s="6">
        <v>28982.74</v>
      </c>
      <c r="F3" s="6">
        <v>966.09</v>
      </c>
      <c r="G3" s="1">
        <v>1.4999999999999999E-2</v>
      </c>
      <c r="H3" s="1">
        <v>-0.14400000000000002</v>
      </c>
      <c r="I3" s="6">
        <v>-0.47299999999999998</v>
      </c>
      <c r="J3" s="6">
        <v>425741</v>
      </c>
      <c r="K3" s="1">
        <v>0.18100000000000002</v>
      </c>
      <c r="L3" s="6">
        <v>2</v>
      </c>
    </row>
    <row r="4" spans="1:13" x14ac:dyDescent="0.35">
      <c r="A4" s="6" t="s">
        <v>35</v>
      </c>
      <c r="B4" s="6" t="s">
        <v>450</v>
      </c>
      <c r="C4" s="6" t="s">
        <v>210</v>
      </c>
      <c r="D4" s="6">
        <v>28941.41</v>
      </c>
      <c r="E4" s="6">
        <v>28941.41</v>
      </c>
      <c r="F4" s="6">
        <v>964.71</v>
      </c>
      <c r="G4" s="6" t="s">
        <v>22</v>
      </c>
      <c r="H4" s="1">
        <v>-0.14499999999999999</v>
      </c>
      <c r="I4" s="6">
        <v>-0.47399999999999998</v>
      </c>
      <c r="J4" s="6">
        <v>232621</v>
      </c>
      <c r="K4" s="1">
        <v>9.9000000000000005E-2</v>
      </c>
      <c r="L4" s="6">
        <v>3</v>
      </c>
    </row>
    <row r="5" spans="1:13" x14ac:dyDescent="0.35">
      <c r="A5" s="6" t="s">
        <v>423</v>
      </c>
      <c r="B5" s="6" t="s">
        <v>422</v>
      </c>
      <c r="C5" s="6" t="s">
        <v>449</v>
      </c>
      <c r="D5" s="6">
        <v>38534.870000000003</v>
      </c>
      <c r="E5" s="6">
        <v>39652.379999999997</v>
      </c>
      <c r="F5" s="6">
        <v>1321.75</v>
      </c>
      <c r="G5" s="1">
        <v>2.8999999999999998E-2</v>
      </c>
      <c r="H5" s="1">
        <v>0.17100000000000001</v>
      </c>
      <c r="I5" s="6">
        <v>-0.28000000000000003</v>
      </c>
      <c r="J5" s="6">
        <v>204946</v>
      </c>
      <c r="K5" s="1">
        <v>8.6999999999999994E-2</v>
      </c>
      <c r="L5" s="6">
        <v>4</v>
      </c>
    </row>
    <row r="6" spans="1:13" x14ac:dyDescent="0.35">
      <c r="A6" s="7" t="s">
        <v>39</v>
      </c>
      <c r="B6" s="7" t="s">
        <v>437</v>
      </c>
      <c r="C6" s="7" t="s">
        <v>210</v>
      </c>
      <c r="D6" s="7">
        <v>33854.65</v>
      </c>
      <c r="E6" s="7">
        <v>33854.65</v>
      </c>
      <c r="F6" s="7">
        <v>1128.49</v>
      </c>
      <c r="G6" s="7" t="s">
        <v>22</v>
      </c>
      <c r="H6" s="7" t="s">
        <v>22</v>
      </c>
      <c r="I6" s="7">
        <v>-0.38500000000000001</v>
      </c>
      <c r="J6" s="7">
        <v>144822</v>
      </c>
      <c r="K6" s="5">
        <v>6.2E-2</v>
      </c>
      <c r="L6" s="7">
        <v>5</v>
      </c>
      <c r="M6" s="10">
        <f>+F2/F6-1</f>
        <v>-0.15172487128818157</v>
      </c>
    </row>
    <row r="7" spans="1:13" x14ac:dyDescent="0.35">
      <c r="A7" s="6" t="s">
        <v>28</v>
      </c>
      <c r="B7" s="6" t="s">
        <v>448</v>
      </c>
      <c r="C7" s="6" t="s">
        <v>210</v>
      </c>
      <c r="D7" s="6">
        <v>36103.69</v>
      </c>
      <c r="E7" s="6">
        <v>36103.69</v>
      </c>
      <c r="F7" s="6">
        <v>1203.46</v>
      </c>
      <c r="G7" s="6" t="s">
        <v>22</v>
      </c>
      <c r="H7" s="1">
        <v>6.6000000000000003E-2</v>
      </c>
      <c r="I7" s="6">
        <v>-0.34399999999999997</v>
      </c>
      <c r="J7" s="6">
        <v>120224</v>
      </c>
      <c r="K7" s="1">
        <v>5.0999999999999997E-2</v>
      </c>
      <c r="L7" s="6">
        <v>6</v>
      </c>
    </row>
    <row r="8" spans="1:13" x14ac:dyDescent="0.35">
      <c r="A8" s="6" t="s">
        <v>33</v>
      </c>
      <c r="B8" s="6" t="s">
        <v>424</v>
      </c>
      <c r="C8" s="6" t="s">
        <v>210</v>
      </c>
      <c r="D8" s="6">
        <v>27908</v>
      </c>
      <c r="E8" s="6">
        <v>28327</v>
      </c>
      <c r="F8" s="6">
        <v>944.23</v>
      </c>
      <c r="G8" s="1">
        <v>1.4999999999999999E-2</v>
      </c>
      <c r="H8" s="1">
        <v>-0.16300000000000001</v>
      </c>
      <c r="I8" s="6">
        <v>-0.48499999999999999</v>
      </c>
      <c r="J8" s="6">
        <v>95892</v>
      </c>
      <c r="K8" s="1">
        <v>4.0999999999999995E-2</v>
      </c>
      <c r="L8" s="6">
        <v>7</v>
      </c>
    </row>
    <row r="9" spans="1:13" x14ac:dyDescent="0.35">
      <c r="A9" s="6" t="s">
        <v>23</v>
      </c>
      <c r="B9" s="6" t="s">
        <v>447</v>
      </c>
      <c r="C9" s="6" t="s">
        <v>257</v>
      </c>
      <c r="D9" s="6">
        <v>54232.42</v>
      </c>
      <c r="E9" s="6">
        <v>55045.91</v>
      </c>
      <c r="F9" s="6">
        <v>917.43</v>
      </c>
      <c r="G9" s="1">
        <v>1.4999999999999999E-2</v>
      </c>
      <c r="H9" s="1">
        <v>0.626</v>
      </c>
      <c r="I9" s="6" t="s">
        <v>15</v>
      </c>
      <c r="J9" s="6">
        <v>64433</v>
      </c>
      <c r="K9" s="1">
        <v>2.7000000000000003E-2</v>
      </c>
      <c r="L9" s="6">
        <v>8</v>
      </c>
    </row>
    <row r="10" spans="1:13" x14ac:dyDescent="0.35">
      <c r="A10" s="6" t="s">
        <v>170</v>
      </c>
      <c r="B10" s="6" t="s">
        <v>446</v>
      </c>
      <c r="C10" s="6" t="s">
        <v>210</v>
      </c>
      <c r="D10" s="6">
        <v>20878.05</v>
      </c>
      <c r="E10" s="6">
        <v>21295.62</v>
      </c>
      <c r="F10" s="6">
        <v>709.85</v>
      </c>
      <c r="G10" s="1">
        <v>0.02</v>
      </c>
      <c r="H10" s="1">
        <v>-0.371</v>
      </c>
      <c r="I10" s="6">
        <v>-0.61299999999999999</v>
      </c>
      <c r="J10" s="6">
        <v>61366</v>
      </c>
      <c r="K10" s="1">
        <v>2.6000000000000002E-2</v>
      </c>
      <c r="L10" s="6">
        <v>9</v>
      </c>
    </row>
    <row r="11" spans="1:13" x14ac:dyDescent="0.35">
      <c r="A11" s="6" t="s">
        <v>208</v>
      </c>
      <c r="B11" s="6" t="s">
        <v>445</v>
      </c>
      <c r="C11" s="6" t="s">
        <v>210</v>
      </c>
      <c r="D11" s="6">
        <v>31998.760000000002</v>
      </c>
      <c r="E11" s="6">
        <v>31998.760000000002</v>
      </c>
      <c r="F11" s="6">
        <v>1066.6300000000001</v>
      </c>
      <c r="G11" s="6" t="s">
        <v>22</v>
      </c>
      <c r="H11" s="1">
        <v>-5.5E-2</v>
      </c>
      <c r="I11" s="6">
        <v>-0.41899999999999998</v>
      </c>
      <c r="J11" s="6">
        <v>56862</v>
      </c>
      <c r="K11" s="1">
        <v>2.4E-2</v>
      </c>
      <c r="L11" s="6">
        <v>10</v>
      </c>
    </row>
    <row r="12" spans="1:13" x14ac:dyDescent="0.35">
      <c r="A12" s="6" t="s">
        <v>31</v>
      </c>
      <c r="B12" s="6" t="s">
        <v>444</v>
      </c>
      <c r="C12" s="6" t="s">
        <v>210</v>
      </c>
      <c r="D12" s="6">
        <v>28654.09</v>
      </c>
      <c r="E12" s="6">
        <v>28654.09</v>
      </c>
      <c r="F12" s="6">
        <v>955.14</v>
      </c>
      <c r="G12" s="6" t="s">
        <v>22</v>
      </c>
      <c r="H12" s="1">
        <v>-0.154</v>
      </c>
      <c r="I12" s="6">
        <v>-0.47899999999999998</v>
      </c>
      <c r="J12" s="6">
        <v>52597</v>
      </c>
      <c r="K12" s="1">
        <v>2.2000000000000002E-2</v>
      </c>
      <c r="L12" s="6">
        <v>11</v>
      </c>
    </row>
    <row r="13" spans="1:13" x14ac:dyDescent="0.35">
      <c r="A13" s="6" t="s">
        <v>66</v>
      </c>
      <c r="B13" s="6" t="s">
        <v>414</v>
      </c>
      <c r="C13" s="6" t="s">
        <v>210</v>
      </c>
      <c r="D13" s="6">
        <v>21018.13</v>
      </c>
      <c r="E13" s="6">
        <v>21018.13</v>
      </c>
      <c r="F13" s="6">
        <v>700.6</v>
      </c>
      <c r="G13" s="6" t="s">
        <v>22</v>
      </c>
      <c r="H13" s="1">
        <v>-0.379</v>
      </c>
      <c r="I13" s="6">
        <v>-0.61799999999999999</v>
      </c>
      <c r="J13" s="6">
        <v>49608</v>
      </c>
      <c r="K13" s="1">
        <v>2.1000000000000001E-2</v>
      </c>
      <c r="L13" s="6">
        <v>12</v>
      </c>
    </row>
    <row r="14" spans="1:13" x14ac:dyDescent="0.35">
      <c r="A14" s="6" t="s">
        <v>282</v>
      </c>
      <c r="B14" s="6" t="s">
        <v>443</v>
      </c>
      <c r="C14" s="6" t="s">
        <v>210</v>
      </c>
      <c r="D14" s="6">
        <v>22441.040000000001</v>
      </c>
      <c r="E14" s="6">
        <v>22441.040000000001</v>
      </c>
      <c r="F14" s="6">
        <v>748.03</v>
      </c>
      <c r="G14" s="6" t="s">
        <v>22</v>
      </c>
      <c r="H14" s="1">
        <v>-0.33700000000000002</v>
      </c>
      <c r="I14" s="6">
        <v>-0.59200000000000008</v>
      </c>
      <c r="J14" s="6">
        <v>48514</v>
      </c>
      <c r="K14" s="1">
        <v>2.1000000000000001E-2</v>
      </c>
      <c r="L14" s="6">
        <v>13</v>
      </c>
    </row>
    <row r="15" spans="1:13" x14ac:dyDescent="0.35">
      <c r="A15" s="6" t="s">
        <v>88</v>
      </c>
      <c r="B15" s="6" t="s">
        <v>442</v>
      </c>
      <c r="C15" s="6" t="s">
        <v>18</v>
      </c>
      <c r="D15" s="6">
        <v>26290</v>
      </c>
      <c r="E15" s="6">
        <v>26820</v>
      </c>
      <c r="F15" s="6">
        <v>894</v>
      </c>
      <c r="G15" s="1">
        <v>0.02</v>
      </c>
      <c r="H15" s="1">
        <v>-0.20800000000000002</v>
      </c>
      <c r="I15" s="6">
        <v>-0.51300000000000001</v>
      </c>
      <c r="J15" s="6">
        <v>38966</v>
      </c>
      <c r="K15" s="1">
        <v>1.7000000000000001E-2</v>
      </c>
      <c r="L15" s="6">
        <v>14</v>
      </c>
    </row>
    <row r="16" spans="1:13" x14ac:dyDescent="0.35">
      <c r="A16" s="6" t="s">
        <v>84</v>
      </c>
      <c r="B16" s="6" t="s">
        <v>441</v>
      </c>
      <c r="C16" s="6" t="s">
        <v>210</v>
      </c>
      <c r="D16" s="6">
        <v>28920.600000000002</v>
      </c>
      <c r="E16" s="6">
        <v>28920.600000000002</v>
      </c>
      <c r="F16" s="6">
        <v>964.02</v>
      </c>
      <c r="G16" s="6" t="s">
        <v>22</v>
      </c>
      <c r="H16" s="1">
        <v>-0.14599999999999999</v>
      </c>
      <c r="I16" s="6">
        <v>-0.47499999999999998</v>
      </c>
      <c r="J16" s="6">
        <v>32320</v>
      </c>
      <c r="K16" s="1">
        <v>1.3999999999999999E-2</v>
      </c>
      <c r="L16" s="6">
        <v>15</v>
      </c>
    </row>
    <row r="17" spans="1:12" x14ac:dyDescent="0.35">
      <c r="A17" s="6" t="s">
        <v>423</v>
      </c>
      <c r="B17" s="6" t="s">
        <v>422</v>
      </c>
      <c r="C17" s="6" t="s">
        <v>440</v>
      </c>
      <c r="D17" s="6">
        <v>67036.39</v>
      </c>
      <c r="E17" s="6">
        <v>68980.45</v>
      </c>
      <c r="F17" s="6">
        <v>1149.67</v>
      </c>
      <c r="G17" s="1">
        <v>2.8999999999999998E-2</v>
      </c>
      <c r="H17" s="1">
        <v>1.038</v>
      </c>
      <c r="I17" s="6">
        <v>0.253</v>
      </c>
      <c r="J17" s="6">
        <v>29778</v>
      </c>
      <c r="K17" s="1">
        <v>1.3000000000000001E-2</v>
      </c>
      <c r="L17" s="6">
        <v>16</v>
      </c>
    </row>
    <row r="18" spans="1:12" x14ac:dyDescent="0.35">
      <c r="A18" s="6" t="s">
        <v>132</v>
      </c>
      <c r="B18" s="6" t="s">
        <v>439</v>
      </c>
      <c r="C18" s="6" t="s">
        <v>438</v>
      </c>
      <c r="D18" s="6">
        <v>29262.3</v>
      </c>
      <c r="E18" s="6">
        <v>29262.3</v>
      </c>
      <c r="F18" s="6">
        <v>975.41</v>
      </c>
      <c r="G18" s="6" t="s">
        <v>22</v>
      </c>
      <c r="H18" s="1">
        <v>-0.13600000000000001</v>
      </c>
      <c r="I18" s="6">
        <v>-0.46799999999999997</v>
      </c>
      <c r="J18" s="6">
        <v>24408</v>
      </c>
      <c r="K18" s="1">
        <v>0.01</v>
      </c>
      <c r="L18" s="6">
        <v>17</v>
      </c>
    </row>
    <row r="19" spans="1:12" x14ac:dyDescent="0.35">
      <c r="A19" s="6" t="s">
        <v>39</v>
      </c>
      <c r="B19" s="6" t="s">
        <v>437</v>
      </c>
      <c r="C19" s="6" t="s">
        <v>257</v>
      </c>
      <c r="D19" s="6">
        <v>61894.8</v>
      </c>
      <c r="E19" s="6">
        <v>61894.8</v>
      </c>
      <c r="F19" s="6">
        <v>1031.58</v>
      </c>
      <c r="G19" s="6" t="s">
        <v>22</v>
      </c>
      <c r="H19" s="6" t="s">
        <v>22</v>
      </c>
      <c r="I19" s="6">
        <v>0.124</v>
      </c>
      <c r="J19" s="6">
        <v>20919</v>
      </c>
      <c r="K19" s="1">
        <v>9.0000000000000011E-3</v>
      </c>
      <c r="L19" s="6">
        <v>18</v>
      </c>
    </row>
    <row r="20" spans="1:12" x14ac:dyDescent="0.35">
      <c r="A20" s="6" t="s">
        <v>165</v>
      </c>
      <c r="B20" s="6" t="s">
        <v>428</v>
      </c>
      <c r="C20" s="6" t="s">
        <v>210</v>
      </c>
      <c r="D20" s="6">
        <v>33309.090000000004</v>
      </c>
      <c r="E20" s="6">
        <v>34075.199999999997</v>
      </c>
      <c r="F20" s="6">
        <v>1135.8399999999999</v>
      </c>
      <c r="G20" s="1">
        <v>2.3E-2</v>
      </c>
      <c r="H20" s="1">
        <v>6.9999999999999993E-3</v>
      </c>
      <c r="I20" s="6">
        <v>-0.38100000000000001</v>
      </c>
      <c r="J20" s="6">
        <v>15596</v>
      </c>
      <c r="K20" s="1">
        <v>6.9999999999999993E-3</v>
      </c>
      <c r="L20" s="6">
        <v>19</v>
      </c>
    </row>
    <row r="21" spans="1:12" x14ac:dyDescent="0.35">
      <c r="A21" s="6" t="s">
        <v>72</v>
      </c>
      <c r="B21" s="6" t="s">
        <v>426</v>
      </c>
      <c r="C21" s="6" t="s">
        <v>436</v>
      </c>
      <c r="D21" s="6">
        <v>14148.85</v>
      </c>
      <c r="E21" s="6">
        <v>14431.83</v>
      </c>
      <c r="F21" s="6">
        <v>481.06</v>
      </c>
      <c r="G21" s="1">
        <v>0.02</v>
      </c>
      <c r="H21" s="1">
        <v>-0.57399999999999995</v>
      </c>
      <c r="I21" s="6">
        <v>-0.73799999999999999</v>
      </c>
      <c r="J21" s="6">
        <v>14128</v>
      </c>
      <c r="K21" s="1">
        <v>6.0000000000000001E-3</v>
      </c>
      <c r="L21" s="6">
        <v>20</v>
      </c>
    </row>
    <row r="22" spans="1:12" x14ac:dyDescent="0.35">
      <c r="A22" s="6" t="s">
        <v>86</v>
      </c>
      <c r="B22" s="6" t="s">
        <v>412</v>
      </c>
      <c r="C22" s="6" t="s">
        <v>210</v>
      </c>
      <c r="D22" s="6">
        <v>24697.41</v>
      </c>
      <c r="E22" s="6">
        <v>24697.41</v>
      </c>
      <c r="F22" s="6">
        <v>823.25</v>
      </c>
      <c r="G22" s="6" t="s">
        <v>22</v>
      </c>
      <c r="H22" s="1">
        <v>-0.27</v>
      </c>
      <c r="I22" s="6">
        <v>-0.55100000000000005</v>
      </c>
      <c r="J22" s="6">
        <v>11440</v>
      </c>
      <c r="K22" s="1">
        <v>5.0000000000000001E-3</v>
      </c>
      <c r="L22" s="6">
        <v>21</v>
      </c>
    </row>
    <row r="23" spans="1:12" x14ac:dyDescent="0.35">
      <c r="A23" s="6" t="s">
        <v>75</v>
      </c>
      <c r="B23" s="6" t="s">
        <v>435</v>
      </c>
      <c r="C23" s="6" t="s">
        <v>210</v>
      </c>
      <c r="D23" s="6">
        <v>30920.84</v>
      </c>
      <c r="E23" s="6">
        <v>31848.47</v>
      </c>
      <c r="F23" s="6">
        <v>1061.6199999999999</v>
      </c>
      <c r="G23" s="1">
        <v>0.03</v>
      </c>
      <c r="H23" s="1">
        <v>-5.9000000000000004E-2</v>
      </c>
      <c r="I23" s="6">
        <v>-0.42100000000000004</v>
      </c>
      <c r="J23" s="6">
        <v>8919</v>
      </c>
      <c r="K23" s="1">
        <v>4.0000000000000001E-3</v>
      </c>
      <c r="L23" s="6">
        <v>22</v>
      </c>
    </row>
    <row r="24" spans="1:12" x14ac:dyDescent="0.35">
      <c r="A24" s="6" t="s">
        <v>86</v>
      </c>
      <c r="B24" s="6" t="s">
        <v>412</v>
      </c>
      <c r="C24" s="6" t="s">
        <v>434</v>
      </c>
      <c r="D24" s="6">
        <v>11569.67</v>
      </c>
      <c r="E24" s="6">
        <v>11569.67</v>
      </c>
      <c r="F24" s="6">
        <v>1156.97</v>
      </c>
      <c r="G24" s="6" t="s">
        <v>22</v>
      </c>
      <c r="H24" s="1">
        <v>-0.65799999999999992</v>
      </c>
      <c r="I24" s="6">
        <v>-0.79</v>
      </c>
      <c r="J24" s="6">
        <v>8473</v>
      </c>
      <c r="K24" s="1">
        <v>4.0000000000000001E-3</v>
      </c>
      <c r="L24" s="6">
        <v>23</v>
      </c>
    </row>
    <row r="25" spans="1:12" x14ac:dyDescent="0.35">
      <c r="A25" s="6" t="s">
        <v>16</v>
      </c>
      <c r="B25" s="6" t="s">
        <v>433</v>
      </c>
      <c r="C25" s="6" t="s">
        <v>432</v>
      </c>
      <c r="D25" s="6">
        <v>52891.86</v>
      </c>
      <c r="E25" s="6">
        <v>54425.73</v>
      </c>
      <c r="F25" s="6">
        <v>907.1</v>
      </c>
      <c r="G25" s="1">
        <v>2.8999999999999998E-2</v>
      </c>
      <c r="H25" s="1">
        <v>0.60799999999999998</v>
      </c>
      <c r="I25" s="6">
        <v>-1.1000000000000001E-2</v>
      </c>
      <c r="J25" s="6">
        <v>7184</v>
      </c>
      <c r="K25" s="1">
        <v>3.0000000000000001E-3</v>
      </c>
      <c r="L25" s="6">
        <v>24</v>
      </c>
    </row>
    <row r="26" spans="1:12" x14ac:dyDescent="0.35">
      <c r="A26" s="6" t="s">
        <v>61</v>
      </c>
      <c r="B26" s="6" t="s">
        <v>431</v>
      </c>
      <c r="C26" s="6" t="s">
        <v>210</v>
      </c>
      <c r="D26" s="6">
        <v>24674.15</v>
      </c>
      <c r="E26" s="6">
        <v>24674.15</v>
      </c>
      <c r="F26" s="6">
        <v>822.47</v>
      </c>
      <c r="G26" s="6" t="s">
        <v>22</v>
      </c>
      <c r="H26" s="1">
        <v>-0.27100000000000002</v>
      </c>
      <c r="I26" s="6">
        <v>-0.55200000000000005</v>
      </c>
      <c r="J26" s="6">
        <v>5432</v>
      </c>
      <c r="K26" s="1">
        <v>2E-3</v>
      </c>
      <c r="L26" s="6">
        <v>25</v>
      </c>
    </row>
    <row r="27" spans="1:12" x14ac:dyDescent="0.35">
      <c r="A27" s="6" t="s">
        <v>430</v>
      </c>
      <c r="B27" s="6" t="s">
        <v>429</v>
      </c>
      <c r="C27" s="6" t="s">
        <v>137</v>
      </c>
      <c r="D27" s="6" t="s">
        <v>22</v>
      </c>
      <c r="E27" s="6" t="s">
        <v>22</v>
      </c>
      <c r="F27" s="6" t="s">
        <v>22</v>
      </c>
      <c r="G27" s="6" t="s">
        <v>22</v>
      </c>
      <c r="H27" s="6" t="s">
        <v>22</v>
      </c>
      <c r="I27" s="6" t="s">
        <v>22</v>
      </c>
      <c r="J27" s="6">
        <v>3493</v>
      </c>
      <c r="K27" s="1">
        <v>1E-3</v>
      </c>
      <c r="L27" s="6">
        <v>26</v>
      </c>
    </row>
    <row r="28" spans="1:12" x14ac:dyDescent="0.35">
      <c r="A28" s="6" t="s">
        <v>165</v>
      </c>
      <c r="B28" s="6" t="s">
        <v>428</v>
      </c>
      <c r="C28" s="6" t="s">
        <v>257</v>
      </c>
      <c r="D28" s="6">
        <v>60346.12</v>
      </c>
      <c r="E28" s="6">
        <v>61734.080000000002</v>
      </c>
      <c r="F28" s="6">
        <v>1028.9000000000001</v>
      </c>
      <c r="G28" s="1">
        <v>2.3E-2</v>
      </c>
      <c r="H28" s="1">
        <v>0.82400000000000007</v>
      </c>
      <c r="I28" s="6">
        <v>0.122</v>
      </c>
      <c r="J28" s="6">
        <v>2826</v>
      </c>
      <c r="K28" s="1">
        <v>1E-3</v>
      </c>
      <c r="L28" s="6">
        <v>27</v>
      </c>
    </row>
    <row r="29" spans="1:12" x14ac:dyDescent="0.35">
      <c r="A29" s="6" t="s">
        <v>41</v>
      </c>
      <c r="B29" s="6" t="s">
        <v>427</v>
      </c>
      <c r="C29" s="6" t="s">
        <v>14</v>
      </c>
      <c r="D29" s="6">
        <v>33592.300000000003</v>
      </c>
      <c r="E29" s="6">
        <v>33928.22</v>
      </c>
      <c r="F29" s="6">
        <v>1211.72</v>
      </c>
      <c r="G29" s="1">
        <v>0.01</v>
      </c>
      <c r="H29" s="1">
        <v>2E-3</v>
      </c>
      <c r="I29" s="6">
        <v>-0.38400000000000001</v>
      </c>
      <c r="J29" s="6">
        <v>2782</v>
      </c>
      <c r="K29" s="1">
        <v>1E-3</v>
      </c>
      <c r="L29" s="6">
        <v>28</v>
      </c>
    </row>
    <row r="30" spans="1:12" x14ac:dyDescent="0.35">
      <c r="A30" s="6" t="s">
        <v>72</v>
      </c>
      <c r="B30" s="6" t="s">
        <v>426</v>
      </c>
      <c r="C30" s="6" t="s">
        <v>425</v>
      </c>
      <c r="D30" s="6">
        <v>27950</v>
      </c>
      <c r="E30" s="6">
        <v>28509</v>
      </c>
      <c r="F30" s="6">
        <v>475.15</v>
      </c>
      <c r="G30" s="1">
        <v>0.02</v>
      </c>
      <c r="H30" s="1">
        <v>-0.158</v>
      </c>
      <c r="I30" s="6">
        <v>-0.48200000000000004</v>
      </c>
      <c r="J30" s="6">
        <v>2597</v>
      </c>
      <c r="K30" s="1">
        <v>1E-3</v>
      </c>
      <c r="L30" s="6">
        <v>29</v>
      </c>
    </row>
    <row r="31" spans="1:12" x14ac:dyDescent="0.35">
      <c r="A31" s="6" t="s">
        <v>33</v>
      </c>
      <c r="B31" s="6" t="s">
        <v>424</v>
      </c>
      <c r="C31" s="6" t="s">
        <v>257</v>
      </c>
      <c r="D31" s="6">
        <v>53039</v>
      </c>
      <c r="E31" s="6">
        <v>54492</v>
      </c>
      <c r="F31" s="6">
        <v>908.2</v>
      </c>
      <c r="G31" s="1">
        <v>2.7000000000000003E-2</v>
      </c>
      <c r="H31" s="1">
        <v>0.61</v>
      </c>
      <c r="I31" s="6">
        <v>-0.01</v>
      </c>
      <c r="J31" s="6">
        <v>2384</v>
      </c>
      <c r="K31" s="1">
        <v>1E-3</v>
      </c>
      <c r="L31" s="6">
        <v>30</v>
      </c>
    </row>
    <row r="32" spans="1:12" x14ac:dyDescent="0.35">
      <c r="A32" s="6" t="s">
        <v>423</v>
      </c>
      <c r="B32" s="6" t="s">
        <v>422</v>
      </c>
      <c r="C32" s="6" t="s">
        <v>421</v>
      </c>
      <c r="D32" s="6">
        <v>25689.91</v>
      </c>
      <c r="E32" s="6">
        <v>26434.92</v>
      </c>
      <c r="F32" s="6">
        <v>1321.75</v>
      </c>
      <c r="G32" s="1">
        <v>2.8999999999999998E-2</v>
      </c>
      <c r="H32" s="1">
        <v>-0.21899999999999997</v>
      </c>
      <c r="I32" s="6">
        <v>-0.52</v>
      </c>
      <c r="J32" s="6">
        <v>2088</v>
      </c>
      <c r="K32" s="1">
        <v>1E-3</v>
      </c>
      <c r="L32" s="6">
        <v>31</v>
      </c>
    </row>
    <row r="33" spans="1:12" x14ac:dyDescent="0.35">
      <c r="A33" s="6" t="s">
        <v>66</v>
      </c>
      <c r="B33" s="6" t="s">
        <v>414</v>
      </c>
      <c r="C33" s="6" t="s">
        <v>420</v>
      </c>
      <c r="D33" s="6">
        <v>7006.04</v>
      </c>
      <c r="E33" s="6">
        <v>7006.04</v>
      </c>
      <c r="F33" s="6">
        <v>700.6</v>
      </c>
      <c r="G33" s="6" t="s">
        <v>22</v>
      </c>
      <c r="H33" s="1">
        <v>-0.79299999999999993</v>
      </c>
      <c r="I33" s="6">
        <v>-0.873</v>
      </c>
      <c r="J33" s="6">
        <v>1029</v>
      </c>
      <c r="K33" s="6" t="s">
        <v>22</v>
      </c>
      <c r="L33" s="6">
        <v>32</v>
      </c>
    </row>
    <row r="34" spans="1:12" x14ac:dyDescent="0.35">
      <c r="A34" s="6" t="s">
        <v>80</v>
      </c>
      <c r="B34" s="6" t="s">
        <v>419</v>
      </c>
      <c r="C34" s="6" t="s">
        <v>210</v>
      </c>
      <c r="D34" s="6">
        <v>24857.25</v>
      </c>
      <c r="E34" s="6">
        <v>25602.97</v>
      </c>
      <c r="F34" s="6">
        <v>853.43</v>
      </c>
      <c r="G34" s="1">
        <v>0.03</v>
      </c>
      <c r="H34" s="1">
        <v>-0.24399999999999999</v>
      </c>
      <c r="I34" s="6">
        <v>-0.53500000000000003</v>
      </c>
      <c r="J34" s="6">
        <v>807</v>
      </c>
      <c r="K34" s="6" t="s">
        <v>22</v>
      </c>
      <c r="L34" s="6">
        <v>33</v>
      </c>
    </row>
    <row r="35" spans="1:12" x14ac:dyDescent="0.35">
      <c r="A35" s="6" t="s">
        <v>418</v>
      </c>
      <c r="B35" s="6" t="s">
        <v>417</v>
      </c>
      <c r="C35" s="6" t="s">
        <v>210</v>
      </c>
      <c r="D35" s="6">
        <v>19702.87</v>
      </c>
      <c r="E35" s="6">
        <v>19702.87</v>
      </c>
      <c r="F35" s="6">
        <v>656.76</v>
      </c>
      <c r="G35" s="6" t="s">
        <v>22</v>
      </c>
      <c r="H35" s="1">
        <v>-0.41799999999999998</v>
      </c>
      <c r="I35" s="6">
        <v>-0.64200000000000002</v>
      </c>
      <c r="J35" s="6">
        <v>346</v>
      </c>
      <c r="K35" s="6" t="s">
        <v>22</v>
      </c>
      <c r="L35" s="6">
        <v>34</v>
      </c>
    </row>
    <row r="36" spans="1:12" x14ac:dyDescent="0.35">
      <c r="A36" s="6" t="s">
        <v>416</v>
      </c>
      <c r="B36" s="6" t="s">
        <v>415</v>
      </c>
      <c r="C36" s="6" t="s">
        <v>210</v>
      </c>
      <c r="D36" s="6">
        <v>30415</v>
      </c>
      <c r="E36" s="6">
        <v>31297</v>
      </c>
      <c r="F36" s="6">
        <v>1043.23</v>
      </c>
      <c r="G36" s="1">
        <v>2.8999999999999998E-2</v>
      </c>
      <c r="H36" s="1">
        <v>-7.5999999999999998E-2</v>
      </c>
      <c r="I36" s="6">
        <v>-0.43099999999999999</v>
      </c>
      <c r="J36" s="6">
        <v>155</v>
      </c>
      <c r="K36" s="6" t="s">
        <v>22</v>
      </c>
      <c r="L36" s="6">
        <v>35</v>
      </c>
    </row>
    <row r="37" spans="1:12" x14ac:dyDescent="0.35">
      <c r="A37" s="6" t="s">
        <v>66</v>
      </c>
      <c r="B37" s="6" t="s">
        <v>414</v>
      </c>
      <c r="C37" s="6" t="s">
        <v>286</v>
      </c>
      <c r="D37" s="6">
        <v>51113.26</v>
      </c>
      <c r="E37" s="6">
        <v>51113.26</v>
      </c>
      <c r="F37" s="6">
        <v>851.89</v>
      </c>
      <c r="G37" s="6" t="s">
        <v>22</v>
      </c>
      <c r="H37" s="1">
        <v>0.51</v>
      </c>
      <c r="I37" s="6">
        <v>-7.0999999999999994E-2</v>
      </c>
      <c r="J37" s="6">
        <v>116</v>
      </c>
      <c r="K37" s="6" t="s">
        <v>22</v>
      </c>
      <c r="L37" s="6">
        <v>36</v>
      </c>
    </row>
    <row r="38" spans="1:12" x14ac:dyDescent="0.35">
      <c r="A38" s="6" t="s">
        <v>86</v>
      </c>
      <c r="B38" s="6" t="s">
        <v>412</v>
      </c>
      <c r="C38" s="6" t="s">
        <v>413</v>
      </c>
      <c r="D38" s="6">
        <v>50330.76</v>
      </c>
      <c r="E38" s="6">
        <v>50834.07</v>
      </c>
      <c r="F38" s="6">
        <v>1016.68</v>
      </c>
      <c r="G38" s="1">
        <v>0.01</v>
      </c>
      <c r="H38" s="1">
        <v>0.502</v>
      </c>
      <c r="I38" s="6">
        <v>-7.6999999999999999E-2</v>
      </c>
      <c r="J38" s="6">
        <v>57</v>
      </c>
      <c r="K38" s="6" t="s">
        <v>22</v>
      </c>
      <c r="L38" s="6">
        <v>37</v>
      </c>
    </row>
    <row r="39" spans="1:12" x14ac:dyDescent="0.35">
      <c r="A39" s="6" t="s">
        <v>86</v>
      </c>
      <c r="B39" s="6" t="s">
        <v>412</v>
      </c>
      <c r="C39" s="6" t="s">
        <v>257</v>
      </c>
      <c r="D39" s="6">
        <v>58162.91</v>
      </c>
      <c r="E39" s="6">
        <v>58162.91</v>
      </c>
      <c r="F39" s="6">
        <v>969.38</v>
      </c>
      <c r="G39" s="6" t="s">
        <v>22</v>
      </c>
      <c r="H39" s="1">
        <v>0.71799999999999997</v>
      </c>
      <c r="I39" s="6">
        <v>5.7000000000000002E-2</v>
      </c>
      <c r="J39" s="6">
        <v>51</v>
      </c>
      <c r="K39" s="6" t="s">
        <v>22</v>
      </c>
      <c r="L39" s="6">
        <v>38</v>
      </c>
    </row>
    <row r="40" spans="1:12" x14ac:dyDescent="0.35">
      <c r="A40" s="6" t="s">
        <v>411</v>
      </c>
      <c r="B40" s="6" t="s">
        <v>410</v>
      </c>
      <c r="C40" s="6" t="s">
        <v>137</v>
      </c>
      <c r="D40" s="6" t="s">
        <v>22</v>
      </c>
      <c r="E40" s="6" t="s">
        <v>22</v>
      </c>
      <c r="F40" s="6" t="s">
        <v>22</v>
      </c>
      <c r="G40" s="6" t="s">
        <v>22</v>
      </c>
      <c r="H40" s="6" t="s">
        <v>22</v>
      </c>
      <c r="I40" s="6" t="s">
        <v>22</v>
      </c>
      <c r="J40" s="6">
        <v>15</v>
      </c>
      <c r="K40" s="6" t="s">
        <v>22</v>
      </c>
      <c r="L40" s="6">
        <v>39</v>
      </c>
    </row>
    <row r="41" spans="1:12" x14ac:dyDescent="0.35">
      <c r="A41" s="6" t="s">
        <v>395</v>
      </c>
      <c r="B41" s="6" t="s">
        <v>409</v>
      </c>
      <c r="C41" s="6" t="s">
        <v>137</v>
      </c>
      <c r="D41" s="6" t="s">
        <v>22</v>
      </c>
      <c r="E41" s="6" t="s">
        <v>22</v>
      </c>
      <c r="F41" s="6" t="s">
        <v>22</v>
      </c>
      <c r="G41" s="6" t="s">
        <v>22</v>
      </c>
      <c r="H41" s="6" t="s">
        <v>22</v>
      </c>
      <c r="I41" s="6" t="s">
        <v>22</v>
      </c>
      <c r="J41" s="6">
        <v>8</v>
      </c>
      <c r="K41" s="6" t="s">
        <v>22</v>
      </c>
      <c r="L41" s="6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AC7D7-0222-4126-A3DB-4D3331895284}">
  <dimension ref="A1:M19"/>
  <sheetViews>
    <sheetView topLeftCell="B1" workbookViewId="0">
      <selection activeCell="M3" sqref="M3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6" t="s">
        <v>19</v>
      </c>
      <c r="B2" s="6" t="s">
        <v>408</v>
      </c>
      <c r="C2" s="6" t="s">
        <v>391</v>
      </c>
      <c r="D2" s="6">
        <v>19087.09</v>
      </c>
      <c r="E2" s="6">
        <v>19087.09</v>
      </c>
      <c r="F2" s="6">
        <v>681.68</v>
      </c>
      <c r="G2" s="6" t="s">
        <v>22</v>
      </c>
      <c r="H2" s="1">
        <v>1.3000000000000001E-2</v>
      </c>
      <c r="I2" s="6" t="s">
        <v>15</v>
      </c>
      <c r="J2" s="6">
        <v>649720</v>
      </c>
      <c r="K2" s="1">
        <v>0.28300000000000003</v>
      </c>
      <c r="L2" s="6">
        <v>1</v>
      </c>
    </row>
    <row r="3" spans="1:13" x14ac:dyDescent="0.35">
      <c r="A3" s="7" t="s">
        <v>39</v>
      </c>
      <c r="B3" s="7" t="s">
        <v>407</v>
      </c>
      <c r="C3" s="7" t="s">
        <v>391</v>
      </c>
      <c r="D3" s="7">
        <v>18849.2</v>
      </c>
      <c r="E3" s="7">
        <v>18849.2</v>
      </c>
      <c r="F3" s="7">
        <v>673.19</v>
      </c>
      <c r="G3" s="7" t="s">
        <v>22</v>
      </c>
      <c r="H3" s="7" t="s">
        <v>22</v>
      </c>
      <c r="I3" s="7">
        <v>-1.2E-2</v>
      </c>
      <c r="J3" s="7">
        <v>223922</v>
      </c>
      <c r="K3" s="5">
        <v>9.8000000000000004E-2</v>
      </c>
      <c r="L3" s="7">
        <v>3</v>
      </c>
      <c r="M3" s="8">
        <f>+F2/F3-1</f>
        <v>1.2611595537663778E-2</v>
      </c>
    </row>
    <row r="4" spans="1:13" x14ac:dyDescent="0.35">
      <c r="A4" s="6" t="s">
        <v>58</v>
      </c>
      <c r="B4" s="6" t="s">
        <v>406</v>
      </c>
      <c r="C4" s="6" t="s">
        <v>405</v>
      </c>
      <c r="D4" s="6">
        <v>18235.060000000001</v>
      </c>
      <c r="E4" s="6">
        <v>18763.89</v>
      </c>
      <c r="F4" s="6">
        <v>625.46</v>
      </c>
      <c r="G4" s="1">
        <v>2.8999999999999998E-2</v>
      </c>
      <c r="H4" s="1">
        <v>-5.0000000000000001E-3</v>
      </c>
      <c r="I4" s="6">
        <v>-1.7000000000000001E-2</v>
      </c>
      <c r="J4" s="6">
        <v>208483</v>
      </c>
      <c r="K4" s="1">
        <v>9.0999999999999998E-2</v>
      </c>
      <c r="L4" s="6">
        <v>4</v>
      </c>
    </row>
    <row r="5" spans="1:13" x14ac:dyDescent="0.35">
      <c r="A5" s="6" t="s">
        <v>16</v>
      </c>
      <c r="B5" s="6" t="s">
        <v>403</v>
      </c>
      <c r="C5" s="6" t="s">
        <v>405</v>
      </c>
      <c r="D5" s="6">
        <v>18039.91</v>
      </c>
      <c r="E5" s="6">
        <v>18563.07</v>
      </c>
      <c r="F5" s="6">
        <v>618.77</v>
      </c>
      <c r="G5" s="1">
        <v>2.8999999999999998E-2</v>
      </c>
      <c r="H5" s="1">
        <v>-1.4999999999999999E-2</v>
      </c>
      <c r="I5" s="6">
        <v>-2.7000000000000003E-2</v>
      </c>
      <c r="J5" s="6">
        <v>140932</v>
      </c>
      <c r="K5" s="1">
        <v>6.0999999999999999E-2</v>
      </c>
      <c r="L5" s="6">
        <v>5</v>
      </c>
    </row>
    <row r="6" spans="1:13" x14ac:dyDescent="0.35">
      <c r="A6" s="6" t="s">
        <v>28</v>
      </c>
      <c r="B6" s="6" t="s">
        <v>404</v>
      </c>
      <c r="C6" s="6" t="s">
        <v>250</v>
      </c>
      <c r="D6" s="6">
        <v>20043.260000000002</v>
      </c>
      <c r="E6" s="6">
        <v>20537.330000000002</v>
      </c>
      <c r="F6" s="6">
        <v>684.58</v>
      </c>
      <c r="G6" s="1">
        <v>2.5000000000000001E-2</v>
      </c>
      <c r="H6" s="1">
        <v>0.09</v>
      </c>
      <c r="I6" s="6">
        <v>7.5999999999999998E-2</v>
      </c>
      <c r="J6" s="6">
        <v>139895</v>
      </c>
      <c r="K6" s="1">
        <v>6.0999999999999999E-2</v>
      </c>
      <c r="L6" s="6">
        <v>6</v>
      </c>
    </row>
    <row r="7" spans="1:13" x14ac:dyDescent="0.35">
      <c r="A7" s="6" t="s">
        <v>43</v>
      </c>
      <c r="B7" s="6" t="s">
        <v>398</v>
      </c>
      <c r="C7" s="6" t="s">
        <v>391</v>
      </c>
      <c r="D7" s="6">
        <v>20999.94</v>
      </c>
      <c r="E7" s="6">
        <v>20999.94</v>
      </c>
      <c r="F7" s="6">
        <v>750</v>
      </c>
      <c r="G7" s="6" t="s">
        <v>22</v>
      </c>
      <c r="H7" s="1">
        <v>0.114</v>
      </c>
      <c r="I7" s="6">
        <v>0.1</v>
      </c>
      <c r="J7" s="6">
        <v>114963</v>
      </c>
      <c r="K7" s="1">
        <v>0.05</v>
      </c>
      <c r="L7" s="6">
        <v>7</v>
      </c>
    </row>
    <row r="8" spans="1:13" x14ac:dyDescent="0.35">
      <c r="A8" s="6" t="s">
        <v>84</v>
      </c>
      <c r="B8" s="6" t="s">
        <v>393</v>
      </c>
      <c r="C8" s="6" t="s">
        <v>250</v>
      </c>
      <c r="D8" s="6">
        <v>18535.96</v>
      </c>
      <c r="E8" s="6">
        <v>18535.96</v>
      </c>
      <c r="F8" s="6">
        <v>617.87</v>
      </c>
      <c r="G8" s="6" t="s">
        <v>22</v>
      </c>
      <c r="H8" s="1">
        <v>-1.7000000000000001E-2</v>
      </c>
      <c r="I8" s="6">
        <v>-2.8999999999999998E-2</v>
      </c>
      <c r="J8" s="6">
        <v>86093</v>
      </c>
      <c r="K8" s="1">
        <v>3.7999999999999999E-2</v>
      </c>
      <c r="L8" s="6">
        <v>8</v>
      </c>
    </row>
    <row r="9" spans="1:13" x14ac:dyDescent="0.35">
      <c r="A9" s="6" t="s">
        <v>23</v>
      </c>
      <c r="B9" s="6" t="s">
        <v>397</v>
      </c>
      <c r="C9" s="6" t="s">
        <v>250</v>
      </c>
      <c r="D9" s="6">
        <v>18095.7</v>
      </c>
      <c r="E9" s="6">
        <v>18729.060000000001</v>
      </c>
      <c r="F9" s="6">
        <v>624.29999999999995</v>
      </c>
      <c r="G9" s="1">
        <v>3.5000000000000003E-2</v>
      </c>
      <c r="H9" s="1">
        <v>-6.0000000000000001E-3</v>
      </c>
      <c r="I9" s="6">
        <v>-1.9E-2</v>
      </c>
      <c r="J9" s="6">
        <v>81673</v>
      </c>
      <c r="K9" s="1">
        <v>3.6000000000000004E-2</v>
      </c>
      <c r="L9" s="6">
        <v>9</v>
      </c>
    </row>
    <row r="10" spans="1:13" x14ac:dyDescent="0.35">
      <c r="A10" s="6" t="s">
        <v>16</v>
      </c>
      <c r="B10" s="6" t="s">
        <v>403</v>
      </c>
      <c r="C10" s="6" t="s">
        <v>402</v>
      </c>
      <c r="D10" s="6">
        <v>18004.77</v>
      </c>
      <c r="E10" s="6">
        <v>18526.900000000001</v>
      </c>
      <c r="F10" s="6">
        <v>661.68</v>
      </c>
      <c r="G10" s="1">
        <v>2.8999999999999998E-2</v>
      </c>
      <c r="H10" s="1">
        <v>-1.7000000000000001E-2</v>
      </c>
      <c r="I10" s="6">
        <v>-2.8999999999999998E-2</v>
      </c>
      <c r="J10" s="6">
        <v>78133</v>
      </c>
      <c r="K10" s="1">
        <v>3.4000000000000002E-2</v>
      </c>
      <c r="L10" s="6">
        <v>10</v>
      </c>
    </row>
    <row r="11" spans="1:13" x14ac:dyDescent="0.35">
      <c r="A11" s="6" t="s">
        <v>23</v>
      </c>
      <c r="B11" s="6" t="s">
        <v>397</v>
      </c>
      <c r="C11" s="6" t="s">
        <v>391</v>
      </c>
      <c r="D11" s="6">
        <v>17328.21</v>
      </c>
      <c r="E11" s="6">
        <v>17934.71</v>
      </c>
      <c r="F11" s="6">
        <v>640.53</v>
      </c>
      <c r="G11" s="1">
        <v>3.5000000000000003E-2</v>
      </c>
      <c r="H11" s="1">
        <v>-4.9000000000000002E-2</v>
      </c>
      <c r="I11" s="6">
        <v>-0.06</v>
      </c>
      <c r="J11" s="6">
        <v>70452</v>
      </c>
      <c r="K11" s="1">
        <v>3.1E-2</v>
      </c>
      <c r="L11" s="6">
        <v>11</v>
      </c>
    </row>
    <row r="12" spans="1:13" x14ac:dyDescent="0.35">
      <c r="A12" s="6" t="s">
        <v>31</v>
      </c>
      <c r="B12" s="6" t="s">
        <v>401</v>
      </c>
      <c r="C12" s="6" t="s">
        <v>250</v>
      </c>
      <c r="D12" s="6">
        <v>19113.29</v>
      </c>
      <c r="E12" s="6">
        <v>19113.29</v>
      </c>
      <c r="F12" s="6">
        <v>637.11</v>
      </c>
      <c r="G12" s="6" t="s">
        <v>22</v>
      </c>
      <c r="H12" s="1">
        <v>1.3999999999999999E-2</v>
      </c>
      <c r="I12" s="6">
        <v>1E-3</v>
      </c>
      <c r="J12" s="6">
        <v>52021</v>
      </c>
      <c r="K12" s="1">
        <v>2.3E-2</v>
      </c>
      <c r="L12" s="6">
        <v>12</v>
      </c>
    </row>
    <row r="13" spans="1:13" x14ac:dyDescent="0.35">
      <c r="A13" s="6" t="s">
        <v>33</v>
      </c>
      <c r="B13" s="6" t="s">
        <v>400</v>
      </c>
      <c r="C13" s="6" t="s">
        <v>399</v>
      </c>
      <c r="D13" s="6">
        <v>53161</v>
      </c>
      <c r="E13" s="6">
        <v>54618</v>
      </c>
      <c r="F13" s="6">
        <v>910.3</v>
      </c>
      <c r="G13" s="1">
        <v>2.7000000000000003E-2</v>
      </c>
      <c r="H13" s="1">
        <v>1.8980000000000001</v>
      </c>
      <c r="I13" s="6">
        <v>1.8619999999999999</v>
      </c>
      <c r="J13" s="6">
        <v>40801</v>
      </c>
      <c r="K13" s="1">
        <v>1.8000000000000002E-2</v>
      </c>
      <c r="L13" s="6">
        <v>13</v>
      </c>
    </row>
    <row r="14" spans="1:13" x14ac:dyDescent="0.35">
      <c r="A14" s="6" t="s">
        <v>43</v>
      </c>
      <c r="B14" s="6" t="s">
        <v>398</v>
      </c>
      <c r="C14" s="6" t="s">
        <v>396</v>
      </c>
      <c r="D14" s="6">
        <v>38370.93</v>
      </c>
      <c r="E14" s="6">
        <v>38370.93</v>
      </c>
      <c r="F14" s="6">
        <v>685.2</v>
      </c>
      <c r="G14" s="6" t="s">
        <v>22</v>
      </c>
      <c r="H14" s="1">
        <v>1.036</v>
      </c>
      <c r="I14" s="6">
        <v>1.01</v>
      </c>
      <c r="J14" s="6">
        <v>26923</v>
      </c>
      <c r="K14" s="1">
        <v>1.2E-2</v>
      </c>
      <c r="L14" s="6">
        <v>14</v>
      </c>
    </row>
    <row r="15" spans="1:13" x14ac:dyDescent="0.35">
      <c r="A15" s="6" t="s">
        <v>23</v>
      </c>
      <c r="B15" s="6" t="s">
        <v>397</v>
      </c>
      <c r="C15" s="6" t="s">
        <v>396</v>
      </c>
      <c r="D15" s="6">
        <v>35893.440000000002</v>
      </c>
      <c r="E15" s="6">
        <v>37149.71</v>
      </c>
      <c r="F15" s="6">
        <v>663.39</v>
      </c>
      <c r="G15" s="1">
        <v>3.5000000000000003E-2</v>
      </c>
      <c r="H15" s="1">
        <v>0.97099999999999997</v>
      </c>
      <c r="I15" s="6">
        <v>0.94599999999999995</v>
      </c>
      <c r="J15" s="6">
        <v>20222</v>
      </c>
      <c r="K15" s="1">
        <v>9.0000000000000011E-3</v>
      </c>
      <c r="L15" s="6">
        <v>15</v>
      </c>
    </row>
    <row r="16" spans="1:13" x14ac:dyDescent="0.35">
      <c r="A16" s="6" t="s">
        <v>395</v>
      </c>
      <c r="B16" s="6" t="s">
        <v>394</v>
      </c>
      <c r="C16" s="6" t="s">
        <v>137</v>
      </c>
      <c r="D16" s="6" t="s">
        <v>22</v>
      </c>
      <c r="E16" s="6" t="s">
        <v>22</v>
      </c>
      <c r="F16" s="6" t="s">
        <v>22</v>
      </c>
      <c r="G16" s="6" t="s">
        <v>22</v>
      </c>
      <c r="H16" s="6" t="s">
        <v>22</v>
      </c>
      <c r="I16" s="6" t="s">
        <v>22</v>
      </c>
      <c r="J16" s="6">
        <v>18538</v>
      </c>
      <c r="K16" s="1">
        <v>8.0000000000000002E-3</v>
      </c>
      <c r="L16" s="6">
        <v>16</v>
      </c>
    </row>
    <row r="17" spans="1:12" x14ac:dyDescent="0.35">
      <c r="A17" s="6" t="s">
        <v>84</v>
      </c>
      <c r="B17" s="6" t="s">
        <v>393</v>
      </c>
      <c r="C17" s="6" t="s">
        <v>391</v>
      </c>
      <c r="D17" s="6">
        <v>18408.89</v>
      </c>
      <c r="E17" s="6">
        <v>18408.89</v>
      </c>
      <c r="F17" s="6">
        <v>657.46</v>
      </c>
      <c r="G17" s="6" t="s">
        <v>22</v>
      </c>
      <c r="H17" s="1">
        <v>-2.3E-2</v>
      </c>
      <c r="I17" s="6">
        <v>-3.6000000000000004E-2</v>
      </c>
      <c r="J17" s="6">
        <v>11165</v>
      </c>
      <c r="K17" s="1">
        <v>5.0000000000000001E-3</v>
      </c>
      <c r="L17" s="6">
        <v>17</v>
      </c>
    </row>
    <row r="18" spans="1:12" x14ac:dyDescent="0.35">
      <c r="A18" s="6" t="s">
        <v>278</v>
      </c>
      <c r="B18" s="6" t="s">
        <v>392</v>
      </c>
      <c r="C18" s="6" t="s">
        <v>391</v>
      </c>
      <c r="D18" s="6">
        <v>15420.98</v>
      </c>
      <c r="E18" s="6">
        <v>15868.19</v>
      </c>
      <c r="F18" s="6">
        <v>566.72</v>
      </c>
      <c r="G18" s="1">
        <v>2.8999999999999998E-2</v>
      </c>
      <c r="H18" s="1">
        <v>-0.158</v>
      </c>
      <c r="I18" s="6">
        <v>-0.16899999999999998</v>
      </c>
      <c r="J18" s="6">
        <v>9639</v>
      </c>
      <c r="K18" s="1">
        <v>4.0000000000000001E-3</v>
      </c>
      <c r="L18" s="6">
        <v>18</v>
      </c>
    </row>
    <row r="19" spans="1:12" x14ac:dyDescent="0.35">
      <c r="A19" s="6" t="s">
        <v>88</v>
      </c>
      <c r="B19" s="6" t="s">
        <v>390</v>
      </c>
      <c r="C19" s="6" t="s">
        <v>250</v>
      </c>
      <c r="D19" s="6">
        <v>17180</v>
      </c>
      <c r="E19" s="6">
        <v>17520</v>
      </c>
      <c r="F19" s="6">
        <v>584</v>
      </c>
      <c r="G19" s="1">
        <v>0.02</v>
      </c>
      <c r="H19" s="1">
        <v>-7.0999999999999994E-2</v>
      </c>
      <c r="I19" s="6">
        <v>-8.199999999999999E-2</v>
      </c>
      <c r="J19" s="6">
        <v>4066</v>
      </c>
      <c r="K19" s="1">
        <v>2E-3</v>
      </c>
      <c r="L19" s="6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D64E-553B-423B-9CD4-CA200BD40EF8}">
  <dimension ref="A1:L5"/>
  <sheetViews>
    <sheetView topLeftCell="C1" workbookViewId="0">
      <selection activeCell="M2" sqref="M2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2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35">
      <c r="A2" s="7" t="s">
        <v>39</v>
      </c>
      <c r="B2" s="7" t="s">
        <v>389</v>
      </c>
      <c r="C2" s="7" t="s">
        <v>384</v>
      </c>
      <c r="D2" s="7">
        <v>36634.340000000004</v>
      </c>
      <c r="E2" s="7">
        <v>36634.340000000004</v>
      </c>
      <c r="F2" s="7">
        <v>1831.72</v>
      </c>
      <c r="G2" s="7" t="s">
        <v>22</v>
      </c>
      <c r="H2" s="7" t="s">
        <v>22</v>
      </c>
      <c r="I2" s="7" t="s">
        <v>15</v>
      </c>
      <c r="J2" s="7">
        <v>680910</v>
      </c>
      <c r="K2" s="5">
        <v>0.77300000000000002</v>
      </c>
      <c r="L2" s="7">
        <v>1</v>
      </c>
    </row>
    <row r="3" spans="1:12" x14ac:dyDescent="0.35">
      <c r="A3" s="6" t="s">
        <v>28</v>
      </c>
      <c r="B3" s="6" t="s">
        <v>388</v>
      </c>
      <c r="C3" s="6" t="s">
        <v>387</v>
      </c>
      <c r="D3" s="6">
        <v>49696.590000000004</v>
      </c>
      <c r="E3" s="6">
        <v>50924.1</v>
      </c>
      <c r="F3" s="6">
        <v>1697.47</v>
      </c>
      <c r="G3" s="1">
        <v>2.5000000000000001E-2</v>
      </c>
      <c r="H3" s="1">
        <v>0.39</v>
      </c>
      <c r="I3" s="6">
        <v>0.39</v>
      </c>
      <c r="J3" s="6">
        <v>188602</v>
      </c>
      <c r="K3" s="1">
        <v>0.214</v>
      </c>
      <c r="L3" s="6">
        <v>2</v>
      </c>
    </row>
    <row r="4" spans="1:12" x14ac:dyDescent="0.35">
      <c r="A4" s="6" t="s">
        <v>86</v>
      </c>
      <c r="B4" s="6" t="s">
        <v>386</v>
      </c>
      <c r="C4" s="6" t="s">
        <v>384</v>
      </c>
      <c r="D4" s="6">
        <v>26974.100000000002</v>
      </c>
      <c r="E4" s="6">
        <v>27756.350000000002</v>
      </c>
      <c r="F4" s="6">
        <v>1387.82</v>
      </c>
      <c r="G4" s="1">
        <v>2.8999999999999998E-2</v>
      </c>
      <c r="H4" s="1">
        <v>-0.24199999999999999</v>
      </c>
      <c r="I4" s="6">
        <v>-0.24199999999999999</v>
      </c>
      <c r="J4" s="6">
        <v>9981</v>
      </c>
      <c r="K4" s="1">
        <v>1.1000000000000001E-2</v>
      </c>
      <c r="L4" s="6">
        <v>3</v>
      </c>
    </row>
    <row r="5" spans="1:12" x14ac:dyDescent="0.35">
      <c r="A5" s="6" t="s">
        <v>75</v>
      </c>
      <c r="B5" s="6" t="s">
        <v>385</v>
      </c>
      <c r="C5" s="6" t="s">
        <v>384</v>
      </c>
      <c r="D5" s="6">
        <v>31986.93</v>
      </c>
      <c r="E5" s="6">
        <v>32914.550000000003</v>
      </c>
      <c r="F5" s="6">
        <v>1645.73</v>
      </c>
      <c r="G5" s="1">
        <v>2.8999999999999998E-2</v>
      </c>
      <c r="H5" s="1">
        <v>-0.10199999999999999</v>
      </c>
      <c r="I5" s="6">
        <v>-0.10199999999999999</v>
      </c>
      <c r="J5" s="6">
        <v>1657</v>
      </c>
      <c r="K5" s="1">
        <v>2E-3</v>
      </c>
      <c r="L5" s="6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2181-BC51-4FFF-B9C7-2A09F91BF5E1}">
  <dimension ref="A1:M15"/>
  <sheetViews>
    <sheetView topLeftCell="C1" workbookViewId="0">
      <selection activeCell="M11" sqref="M11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6" t="s">
        <v>58</v>
      </c>
      <c r="B2" s="6" t="s">
        <v>365</v>
      </c>
      <c r="C2" s="6" t="s">
        <v>383</v>
      </c>
      <c r="D2" s="6">
        <v>123485.67</v>
      </c>
      <c r="E2" s="6">
        <v>127066.75</v>
      </c>
      <c r="F2" s="6">
        <v>2269.0500000000002</v>
      </c>
      <c r="G2" s="1">
        <v>2.8999999999999998E-2</v>
      </c>
      <c r="H2" s="1">
        <v>0.115</v>
      </c>
      <c r="I2" s="6" t="s">
        <v>15</v>
      </c>
      <c r="J2" s="6">
        <v>137840</v>
      </c>
      <c r="K2" s="1">
        <v>0.373</v>
      </c>
      <c r="L2" s="6">
        <v>1</v>
      </c>
    </row>
    <row r="3" spans="1:13" x14ac:dyDescent="0.35">
      <c r="A3" s="6" t="s">
        <v>346</v>
      </c>
      <c r="B3" s="6" t="s">
        <v>363</v>
      </c>
      <c r="C3" s="6" t="s">
        <v>382</v>
      </c>
      <c r="D3" s="6">
        <v>139936.38</v>
      </c>
      <c r="E3" s="6">
        <v>143994.53</v>
      </c>
      <c r="F3" s="6">
        <v>2571.33</v>
      </c>
      <c r="G3" s="1">
        <v>2.8999999999999998E-2</v>
      </c>
      <c r="H3" s="1">
        <v>0.26300000000000001</v>
      </c>
      <c r="I3" s="6">
        <v>0.13300000000000001</v>
      </c>
      <c r="J3" s="6">
        <v>92573</v>
      </c>
      <c r="K3" s="1">
        <v>0.251</v>
      </c>
      <c r="L3" s="6">
        <v>2</v>
      </c>
    </row>
    <row r="4" spans="1:13" x14ac:dyDescent="0.35">
      <c r="A4" s="6" t="s">
        <v>58</v>
      </c>
      <c r="B4" s="6" t="s">
        <v>365</v>
      </c>
      <c r="C4" s="6" t="s">
        <v>381</v>
      </c>
      <c r="D4" s="6">
        <v>60818.99</v>
      </c>
      <c r="E4" s="6">
        <v>62582.74</v>
      </c>
      <c r="F4" s="6">
        <v>2235.1</v>
      </c>
      <c r="G4" s="1">
        <v>2.8999999999999998E-2</v>
      </c>
      <c r="H4" s="1">
        <v>-0.45100000000000001</v>
      </c>
      <c r="I4" s="6" t="s">
        <v>15</v>
      </c>
      <c r="J4" s="6">
        <v>36731</v>
      </c>
      <c r="K4" s="1">
        <v>0.1</v>
      </c>
      <c r="L4" s="6">
        <v>3</v>
      </c>
    </row>
    <row r="5" spans="1:13" x14ac:dyDescent="0.35">
      <c r="A5" s="6" t="s">
        <v>23</v>
      </c>
      <c r="B5" s="6" t="s">
        <v>361</v>
      </c>
      <c r="C5" s="6" t="s">
        <v>378</v>
      </c>
      <c r="D5" s="6">
        <v>110353.75</v>
      </c>
      <c r="E5" s="6">
        <v>113554.01000000001</v>
      </c>
      <c r="F5" s="6">
        <v>1892.57</v>
      </c>
      <c r="G5" s="1">
        <v>2.8999999999999998E-2</v>
      </c>
      <c r="H5" s="1">
        <v>-4.0000000000000001E-3</v>
      </c>
      <c r="I5" s="6">
        <v>-0.106</v>
      </c>
      <c r="J5" s="6">
        <v>32787</v>
      </c>
      <c r="K5" s="1">
        <v>8.900000000000001E-2</v>
      </c>
      <c r="L5" s="6">
        <v>4</v>
      </c>
    </row>
    <row r="6" spans="1:13" x14ac:dyDescent="0.35">
      <c r="A6" s="6" t="s">
        <v>16</v>
      </c>
      <c r="B6" s="6" t="s">
        <v>360</v>
      </c>
      <c r="C6" s="6" t="s">
        <v>380</v>
      </c>
      <c r="D6" s="6">
        <v>103604.83</v>
      </c>
      <c r="E6" s="6">
        <v>106402.16</v>
      </c>
      <c r="F6" s="6">
        <v>1773.37</v>
      </c>
      <c r="G6" s="1">
        <v>2.7000000000000003E-2</v>
      </c>
      <c r="H6" s="1">
        <v>-6.7000000000000004E-2</v>
      </c>
      <c r="I6" s="6">
        <v>-0.16300000000000001</v>
      </c>
      <c r="J6" s="6">
        <v>17943</v>
      </c>
      <c r="K6" s="1">
        <v>4.9000000000000002E-2</v>
      </c>
      <c r="L6" s="6">
        <v>5</v>
      </c>
    </row>
    <row r="7" spans="1:13" x14ac:dyDescent="0.35">
      <c r="A7" s="6" t="s">
        <v>208</v>
      </c>
      <c r="B7" s="6" t="s">
        <v>353</v>
      </c>
      <c r="C7" s="6" t="s">
        <v>377</v>
      </c>
      <c r="D7" s="6">
        <v>118640.61</v>
      </c>
      <c r="E7" s="6">
        <v>118640.61</v>
      </c>
      <c r="F7" s="6">
        <v>1977.34</v>
      </c>
      <c r="G7" s="6" t="s">
        <v>22</v>
      </c>
      <c r="H7" s="1">
        <v>4.0999999999999995E-2</v>
      </c>
      <c r="I7" s="6">
        <v>-6.6000000000000003E-2</v>
      </c>
      <c r="J7" s="6">
        <v>13877</v>
      </c>
      <c r="K7" s="1">
        <v>3.7999999999999999E-2</v>
      </c>
      <c r="L7" s="6">
        <v>6</v>
      </c>
    </row>
    <row r="8" spans="1:13" x14ac:dyDescent="0.35">
      <c r="A8" s="7" t="s">
        <v>39</v>
      </c>
      <c r="B8" s="7" t="s">
        <v>356</v>
      </c>
      <c r="C8" s="7" t="s">
        <v>380</v>
      </c>
      <c r="D8" s="7">
        <v>113993.45</v>
      </c>
      <c r="E8" s="7">
        <v>113993.45</v>
      </c>
      <c r="F8" s="7">
        <v>1899.89</v>
      </c>
      <c r="G8" s="7" t="s">
        <v>22</v>
      </c>
      <c r="H8" s="7" t="s">
        <v>22</v>
      </c>
      <c r="I8" s="7">
        <v>-0.10300000000000001</v>
      </c>
      <c r="J8" s="7">
        <v>13307</v>
      </c>
      <c r="K8" s="5">
        <v>3.6000000000000004E-2</v>
      </c>
      <c r="L8" s="7">
        <v>7</v>
      </c>
      <c r="M8" s="10">
        <f>+F11/F8-1</f>
        <v>-6.6114353988915187E-2</v>
      </c>
    </row>
    <row r="9" spans="1:13" x14ac:dyDescent="0.35">
      <c r="A9" s="6" t="s">
        <v>16</v>
      </c>
      <c r="B9" s="6" t="s">
        <v>360</v>
      </c>
      <c r="C9" s="6" t="s">
        <v>379</v>
      </c>
      <c r="D9" s="6">
        <v>50153.33</v>
      </c>
      <c r="E9" s="6">
        <v>51507.47</v>
      </c>
      <c r="F9" s="6">
        <v>1716.92</v>
      </c>
      <c r="G9" s="1">
        <v>2.7000000000000003E-2</v>
      </c>
      <c r="H9" s="1">
        <v>-0.54799999999999993</v>
      </c>
      <c r="I9" s="6">
        <v>-0.59499999999999997</v>
      </c>
      <c r="J9" s="6">
        <v>8512</v>
      </c>
      <c r="K9" s="1">
        <v>2.3E-2</v>
      </c>
      <c r="L9" s="6">
        <v>8</v>
      </c>
    </row>
    <row r="10" spans="1:13" x14ac:dyDescent="0.35">
      <c r="A10" s="7" t="s">
        <v>39</v>
      </c>
      <c r="B10" s="7" t="s">
        <v>356</v>
      </c>
      <c r="C10" s="7" t="s">
        <v>379</v>
      </c>
      <c r="D10" s="7">
        <v>64556.810000000005</v>
      </c>
      <c r="E10" s="7">
        <v>64556.810000000005</v>
      </c>
      <c r="F10" s="7">
        <v>2151.89</v>
      </c>
      <c r="G10" s="7" t="s">
        <v>22</v>
      </c>
      <c r="H10" s="7" t="s">
        <v>22</v>
      </c>
      <c r="I10" s="7">
        <v>-0.49200000000000005</v>
      </c>
      <c r="J10" s="7">
        <v>4251</v>
      </c>
      <c r="K10" s="5">
        <v>1.2E-2</v>
      </c>
      <c r="L10" s="7">
        <v>9</v>
      </c>
      <c r="M10" s="10">
        <f>+F13/F10-1</f>
        <v>-0.20158558290618944</v>
      </c>
    </row>
    <row r="11" spans="1:13" x14ac:dyDescent="0.35">
      <c r="A11" s="9" t="s">
        <v>33</v>
      </c>
      <c r="B11" s="9" t="s">
        <v>354</v>
      </c>
      <c r="C11" s="9" t="s">
        <v>377</v>
      </c>
      <c r="D11" s="9">
        <v>103618</v>
      </c>
      <c r="E11" s="9">
        <v>106457</v>
      </c>
      <c r="F11" s="9">
        <v>1774.28</v>
      </c>
      <c r="G11" s="3">
        <v>2.7000000000000003E-2</v>
      </c>
      <c r="H11" s="3">
        <v>-6.6000000000000003E-2</v>
      </c>
      <c r="I11" s="9">
        <v>-0.16200000000000001</v>
      </c>
      <c r="J11" s="9">
        <v>3623</v>
      </c>
      <c r="K11" s="3">
        <v>0.01</v>
      </c>
      <c r="L11" s="9">
        <v>10</v>
      </c>
    </row>
    <row r="12" spans="1:13" x14ac:dyDescent="0.35">
      <c r="A12" s="6" t="s">
        <v>35</v>
      </c>
      <c r="B12" s="6" t="s">
        <v>359</v>
      </c>
      <c r="C12" s="6" t="s">
        <v>378</v>
      </c>
      <c r="D12" s="6">
        <v>103901.27</v>
      </c>
      <c r="E12" s="6">
        <v>106914.41</v>
      </c>
      <c r="F12" s="6">
        <v>1781.91</v>
      </c>
      <c r="G12" s="1">
        <v>2.8999999999999998E-2</v>
      </c>
      <c r="H12" s="1">
        <v>-6.2E-2</v>
      </c>
      <c r="I12" s="6">
        <v>-0.159</v>
      </c>
      <c r="J12" s="6">
        <v>3324</v>
      </c>
      <c r="K12" s="1">
        <v>9.0000000000000011E-3</v>
      </c>
      <c r="L12" s="6">
        <v>11</v>
      </c>
    </row>
    <row r="13" spans="1:13" x14ac:dyDescent="0.35">
      <c r="A13" s="9" t="s">
        <v>33</v>
      </c>
      <c r="B13" s="9" t="s">
        <v>354</v>
      </c>
      <c r="C13" s="9" t="s">
        <v>376</v>
      </c>
      <c r="D13" s="9">
        <v>50168</v>
      </c>
      <c r="E13" s="9">
        <v>51543</v>
      </c>
      <c r="F13" s="9">
        <v>1718.1</v>
      </c>
      <c r="G13" s="3">
        <v>2.7000000000000003E-2</v>
      </c>
      <c r="H13" s="3">
        <v>-0.54799999999999993</v>
      </c>
      <c r="I13" s="9">
        <v>-0.59399999999999997</v>
      </c>
      <c r="J13" s="9">
        <v>2558</v>
      </c>
      <c r="K13" s="3">
        <v>6.9999999999999993E-3</v>
      </c>
      <c r="L13" s="9">
        <v>12</v>
      </c>
    </row>
    <row r="14" spans="1:13" x14ac:dyDescent="0.35">
      <c r="A14" s="6" t="s">
        <v>25</v>
      </c>
      <c r="B14" s="6" t="s">
        <v>352</v>
      </c>
      <c r="C14" s="6" t="s">
        <v>377</v>
      </c>
      <c r="D14" s="6">
        <v>124525.92</v>
      </c>
      <c r="E14" s="6">
        <v>128012.65000000001</v>
      </c>
      <c r="F14" s="6">
        <v>2133.54</v>
      </c>
      <c r="G14" s="1">
        <v>2.7999999999999997E-2</v>
      </c>
      <c r="H14" s="1">
        <v>0.12300000000000001</v>
      </c>
      <c r="I14" s="6">
        <v>6.9999999999999993E-3</v>
      </c>
      <c r="J14" s="6">
        <v>1215</v>
      </c>
      <c r="K14" s="1">
        <v>3.0000000000000001E-3</v>
      </c>
      <c r="L14" s="6">
        <v>13</v>
      </c>
    </row>
    <row r="15" spans="1:13" x14ac:dyDescent="0.35">
      <c r="A15" s="6" t="s">
        <v>208</v>
      </c>
      <c r="B15" s="6" t="s">
        <v>353</v>
      </c>
      <c r="C15" s="6" t="s">
        <v>376</v>
      </c>
      <c r="D15" s="6">
        <v>49657.19</v>
      </c>
      <c r="E15" s="6">
        <v>49657.19</v>
      </c>
      <c r="F15" s="6">
        <v>1655.24</v>
      </c>
      <c r="G15" s="6" t="s">
        <v>22</v>
      </c>
      <c r="H15" s="1">
        <v>-0.56399999999999995</v>
      </c>
      <c r="I15" s="6">
        <v>-0.60899999999999999</v>
      </c>
      <c r="J15" s="6">
        <v>554</v>
      </c>
      <c r="K15" s="1">
        <v>2E-3</v>
      </c>
      <c r="L15" s="6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4725-B02C-4107-83A0-C83FC8730E84}">
  <dimension ref="A1:M7"/>
  <sheetViews>
    <sheetView topLeftCell="D1" workbookViewId="0">
      <selection activeCell="L11" sqref="L11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6" t="s">
        <v>58</v>
      </c>
      <c r="B2" s="6" t="s">
        <v>365</v>
      </c>
      <c r="C2" s="6" t="s">
        <v>375</v>
      </c>
      <c r="D2" s="6">
        <v>61850.68</v>
      </c>
      <c r="E2" s="6">
        <v>63644.340000000004</v>
      </c>
      <c r="F2" s="6">
        <v>2273.0100000000002</v>
      </c>
      <c r="G2" s="1">
        <v>2.8999999999999998E-2</v>
      </c>
      <c r="H2" s="1">
        <v>4.4999999999999998E-2</v>
      </c>
      <c r="I2" s="6" t="s">
        <v>15</v>
      </c>
      <c r="J2" s="6">
        <v>31985</v>
      </c>
      <c r="K2" s="1">
        <v>0.47899999999999998</v>
      </c>
      <c r="L2" s="6">
        <v>1</v>
      </c>
    </row>
    <row r="3" spans="1:13" x14ac:dyDescent="0.35">
      <c r="A3" s="6" t="s">
        <v>346</v>
      </c>
      <c r="B3" s="6" t="s">
        <v>363</v>
      </c>
      <c r="C3" s="6" t="s">
        <v>374</v>
      </c>
      <c r="D3" s="6">
        <v>71180.540000000008</v>
      </c>
      <c r="E3" s="6">
        <v>73244.78</v>
      </c>
      <c r="F3" s="6">
        <v>2615.88</v>
      </c>
      <c r="G3" s="1">
        <v>2.8999999999999998E-2</v>
      </c>
      <c r="H3" s="1">
        <v>0.20199999999999999</v>
      </c>
      <c r="I3" s="6">
        <v>0.151</v>
      </c>
      <c r="J3" s="6">
        <v>16515</v>
      </c>
      <c r="K3" s="1">
        <v>0.247</v>
      </c>
      <c r="L3" s="6">
        <v>2</v>
      </c>
    </row>
    <row r="4" spans="1:13" x14ac:dyDescent="0.35">
      <c r="A4" s="6" t="s">
        <v>23</v>
      </c>
      <c r="B4" s="6" t="s">
        <v>361</v>
      </c>
      <c r="C4" s="6" t="s">
        <v>373</v>
      </c>
      <c r="D4" s="6">
        <v>56102.17</v>
      </c>
      <c r="E4" s="6">
        <v>57729.14</v>
      </c>
      <c r="F4" s="6">
        <v>1924.3</v>
      </c>
      <c r="G4" s="1">
        <v>2.8999999999999998E-2</v>
      </c>
      <c r="H4" s="1">
        <v>-5.2000000000000005E-2</v>
      </c>
      <c r="I4" s="6">
        <v>-9.3000000000000013E-2</v>
      </c>
      <c r="J4" s="6">
        <v>9371</v>
      </c>
      <c r="K4" s="1">
        <v>0.14000000000000001</v>
      </c>
      <c r="L4" s="6">
        <v>3</v>
      </c>
    </row>
    <row r="5" spans="1:13" x14ac:dyDescent="0.35">
      <c r="A5" s="6" t="s">
        <v>16</v>
      </c>
      <c r="B5" s="6" t="s">
        <v>360</v>
      </c>
      <c r="C5" s="6" t="s">
        <v>372</v>
      </c>
      <c r="D5" s="6">
        <v>54247.42</v>
      </c>
      <c r="E5" s="6">
        <v>55712.1</v>
      </c>
      <c r="F5" s="6">
        <v>1857.07</v>
      </c>
      <c r="G5" s="1">
        <v>2.7000000000000003E-2</v>
      </c>
      <c r="H5" s="1">
        <v>-8.5000000000000006E-2</v>
      </c>
      <c r="I5" s="6">
        <v>-0.125</v>
      </c>
      <c r="J5" s="6">
        <v>5973</v>
      </c>
      <c r="K5" s="1">
        <v>8.900000000000001E-2</v>
      </c>
      <c r="L5" s="6">
        <v>4</v>
      </c>
    </row>
    <row r="6" spans="1:13" x14ac:dyDescent="0.35">
      <c r="A6" s="7" t="s">
        <v>39</v>
      </c>
      <c r="B6" s="7" t="s">
        <v>356</v>
      </c>
      <c r="C6" s="7" t="s">
        <v>372</v>
      </c>
      <c r="D6" s="7">
        <v>60912.47</v>
      </c>
      <c r="E6" s="7">
        <v>60912.47</v>
      </c>
      <c r="F6" s="7">
        <v>2030.42</v>
      </c>
      <c r="G6" s="7" t="s">
        <v>22</v>
      </c>
      <c r="H6" s="7" t="s">
        <v>22</v>
      </c>
      <c r="I6" s="7">
        <v>-4.2999999999999997E-2</v>
      </c>
      <c r="J6" s="7">
        <v>2210</v>
      </c>
      <c r="K6" s="5">
        <v>3.3000000000000002E-2</v>
      </c>
      <c r="L6" s="7">
        <v>5</v>
      </c>
      <c r="M6" s="10">
        <f>+F7/F6-1</f>
        <v>-8.481988948099406E-2</v>
      </c>
    </row>
    <row r="7" spans="1:13" x14ac:dyDescent="0.35">
      <c r="A7" s="9" t="s">
        <v>33</v>
      </c>
      <c r="B7" s="9" t="s">
        <v>354</v>
      </c>
      <c r="C7" s="9" t="s">
        <v>371</v>
      </c>
      <c r="D7" s="9">
        <v>54259</v>
      </c>
      <c r="E7" s="9">
        <v>55746</v>
      </c>
      <c r="F7" s="9">
        <v>1858.2</v>
      </c>
      <c r="G7" s="3">
        <v>2.7000000000000003E-2</v>
      </c>
      <c r="H7" s="3">
        <v>-8.5000000000000006E-2</v>
      </c>
      <c r="I7" s="9">
        <v>-0.124</v>
      </c>
      <c r="J7" s="9">
        <v>687</v>
      </c>
      <c r="K7" s="3">
        <v>0.01</v>
      </c>
      <c r="L7" s="9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E33C-0164-4905-A2B3-8EC49954B109}">
  <dimension ref="A1:M20"/>
  <sheetViews>
    <sheetView topLeftCell="B3" workbookViewId="0">
      <selection activeCell="D20" sqref="D20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6" t="s">
        <v>58</v>
      </c>
      <c r="B2" s="6" t="s">
        <v>365</v>
      </c>
      <c r="C2" s="6" t="s">
        <v>370</v>
      </c>
      <c r="D2" s="6">
        <v>135139.33000000002</v>
      </c>
      <c r="E2" s="6">
        <v>139058.38</v>
      </c>
      <c r="F2" s="6">
        <v>2483.19</v>
      </c>
      <c r="G2" s="1">
        <v>2.8999999999999998E-2</v>
      </c>
      <c r="H2" s="1">
        <v>5.0999999999999997E-2</v>
      </c>
      <c r="I2" s="6" t="s">
        <v>15</v>
      </c>
      <c r="J2" s="6">
        <v>84518</v>
      </c>
      <c r="K2" s="1">
        <v>0.22500000000000001</v>
      </c>
      <c r="L2" s="6">
        <v>1</v>
      </c>
    </row>
    <row r="3" spans="1:13" x14ac:dyDescent="0.35">
      <c r="A3" s="6" t="s">
        <v>346</v>
      </c>
      <c r="B3" s="6" t="s">
        <v>363</v>
      </c>
      <c r="C3" s="6" t="s">
        <v>369</v>
      </c>
      <c r="D3" s="6">
        <v>157119.39000000001</v>
      </c>
      <c r="E3" s="6">
        <v>161675.84</v>
      </c>
      <c r="F3" s="6">
        <v>2887.07</v>
      </c>
      <c r="G3" s="1">
        <v>2.8999999999999998E-2</v>
      </c>
      <c r="H3" s="1">
        <v>0.222</v>
      </c>
      <c r="I3" s="6">
        <v>0.16300000000000001</v>
      </c>
      <c r="J3" s="6">
        <v>66867</v>
      </c>
      <c r="K3" s="1">
        <v>0.17800000000000002</v>
      </c>
      <c r="L3" s="6">
        <v>2</v>
      </c>
    </row>
    <row r="4" spans="1:13" x14ac:dyDescent="0.35">
      <c r="A4" s="6" t="s">
        <v>346</v>
      </c>
      <c r="B4" s="6" t="s">
        <v>368</v>
      </c>
      <c r="C4" s="6" t="s">
        <v>367</v>
      </c>
      <c r="D4" s="6">
        <v>160955.97</v>
      </c>
      <c r="E4" s="6">
        <v>165623.69</v>
      </c>
      <c r="F4" s="6">
        <v>2957.57</v>
      </c>
      <c r="G4" s="1">
        <v>2.8999999999999998E-2</v>
      </c>
      <c r="H4" s="1">
        <v>0.252</v>
      </c>
      <c r="I4" s="6">
        <v>0.191</v>
      </c>
      <c r="J4" s="6">
        <v>50048</v>
      </c>
      <c r="K4" s="1">
        <v>0.13400000000000001</v>
      </c>
      <c r="L4" s="6">
        <v>3</v>
      </c>
    </row>
    <row r="5" spans="1:13" x14ac:dyDescent="0.35">
      <c r="A5" s="6" t="s">
        <v>23</v>
      </c>
      <c r="B5" s="6" t="s">
        <v>361</v>
      </c>
      <c r="C5" s="6" t="s">
        <v>358</v>
      </c>
      <c r="D5" s="6">
        <v>123174.6</v>
      </c>
      <c r="E5" s="6">
        <v>126746.66</v>
      </c>
      <c r="F5" s="6">
        <v>2112.44</v>
      </c>
      <c r="G5" s="1">
        <v>2.8999999999999998E-2</v>
      </c>
      <c r="H5" s="1">
        <v>-4.2000000000000003E-2</v>
      </c>
      <c r="I5" s="6">
        <v>-8.900000000000001E-2</v>
      </c>
      <c r="J5" s="6">
        <v>45254</v>
      </c>
      <c r="K5" s="1">
        <v>0.121</v>
      </c>
      <c r="L5" s="6">
        <v>4</v>
      </c>
    </row>
    <row r="6" spans="1:13" x14ac:dyDescent="0.35">
      <c r="A6" s="6" t="s">
        <v>16</v>
      </c>
      <c r="B6" s="6" t="s">
        <v>360</v>
      </c>
      <c r="C6" s="6" t="s">
        <v>358</v>
      </c>
      <c r="D6" s="6">
        <v>118877.81</v>
      </c>
      <c r="E6" s="6">
        <v>122087.51000000001</v>
      </c>
      <c r="F6" s="6">
        <v>2034.79</v>
      </c>
      <c r="G6" s="1">
        <v>2.7000000000000003E-2</v>
      </c>
      <c r="H6" s="1">
        <v>-7.6999999999999999E-2</v>
      </c>
      <c r="I6" s="6">
        <v>-0.122</v>
      </c>
      <c r="J6" s="6">
        <v>23378</v>
      </c>
      <c r="K6" s="1">
        <v>6.2E-2</v>
      </c>
      <c r="L6" s="6">
        <v>5</v>
      </c>
    </row>
    <row r="7" spans="1:13" x14ac:dyDescent="0.35">
      <c r="A7" s="6" t="s">
        <v>23</v>
      </c>
      <c r="B7" s="6" t="s">
        <v>366</v>
      </c>
      <c r="C7" s="6" t="s">
        <v>357</v>
      </c>
      <c r="D7" s="6">
        <v>114930.15000000001</v>
      </c>
      <c r="E7" s="6">
        <v>118263.13</v>
      </c>
      <c r="F7" s="6">
        <v>1971.05</v>
      </c>
      <c r="G7" s="1">
        <v>2.8999999999999998E-2</v>
      </c>
      <c r="H7" s="1">
        <v>-0.106</v>
      </c>
      <c r="I7" s="6">
        <v>-0.15</v>
      </c>
      <c r="J7" s="6">
        <v>23005</v>
      </c>
      <c r="K7" s="1">
        <v>6.0999999999999999E-2</v>
      </c>
      <c r="L7" s="6">
        <v>6</v>
      </c>
    </row>
    <row r="8" spans="1:13" x14ac:dyDescent="0.35">
      <c r="A8" s="6" t="s">
        <v>58</v>
      </c>
      <c r="B8" s="6" t="s">
        <v>365</v>
      </c>
      <c r="C8" s="6" t="s">
        <v>364</v>
      </c>
      <c r="D8" s="6">
        <v>71748.680000000008</v>
      </c>
      <c r="E8" s="6">
        <v>73829.39</v>
      </c>
      <c r="F8" s="6">
        <v>2636.76</v>
      </c>
      <c r="G8" s="1">
        <v>2.8999999999999998E-2</v>
      </c>
      <c r="H8" s="1">
        <v>-0.442</v>
      </c>
      <c r="I8" s="6" t="s">
        <v>15</v>
      </c>
      <c r="J8" s="6">
        <v>16994</v>
      </c>
      <c r="K8" s="1">
        <v>4.4999999999999998E-2</v>
      </c>
      <c r="L8" s="6">
        <v>7</v>
      </c>
    </row>
    <row r="9" spans="1:13" x14ac:dyDescent="0.35">
      <c r="A9" s="6" t="s">
        <v>346</v>
      </c>
      <c r="B9" s="6" t="s">
        <v>363</v>
      </c>
      <c r="C9" s="6" t="s">
        <v>362</v>
      </c>
      <c r="D9" s="6">
        <v>82544.59</v>
      </c>
      <c r="E9" s="6">
        <v>84938.38</v>
      </c>
      <c r="F9" s="6">
        <v>3033.51</v>
      </c>
      <c r="G9" s="1">
        <v>2.8999999999999998E-2</v>
      </c>
      <c r="H9" s="1">
        <v>-0.35799999999999998</v>
      </c>
      <c r="I9" s="6">
        <v>-0.38900000000000001</v>
      </c>
      <c r="J9" s="6">
        <v>12605</v>
      </c>
      <c r="K9" s="1">
        <v>3.4000000000000002E-2</v>
      </c>
      <c r="L9" s="6">
        <v>8</v>
      </c>
    </row>
    <row r="10" spans="1:13" x14ac:dyDescent="0.35">
      <c r="A10" s="6" t="s">
        <v>208</v>
      </c>
      <c r="B10" s="6" t="s">
        <v>353</v>
      </c>
      <c r="C10" s="6" t="s">
        <v>357</v>
      </c>
      <c r="D10" s="6">
        <v>133208.66</v>
      </c>
      <c r="E10" s="6">
        <v>133208.66</v>
      </c>
      <c r="F10" s="6">
        <v>2220.14</v>
      </c>
      <c r="G10" s="6" t="s">
        <v>22</v>
      </c>
      <c r="H10" s="1">
        <v>6.9999999999999993E-3</v>
      </c>
      <c r="I10" s="6">
        <v>-4.2000000000000003E-2</v>
      </c>
      <c r="J10" s="6">
        <v>11358</v>
      </c>
      <c r="K10" s="1">
        <v>0.03</v>
      </c>
      <c r="L10" s="6">
        <v>9</v>
      </c>
    </row>
    <row r="11" spans="1:13" x14ac:dyDescent="0.35">
      <c r="A11" s="7" t="s">
        <v>39</v>
      </c>
      <c r="B11" s="7" t="s">
        <v>356</v>
      </c>
      <c r="C11" s="7" t="s">
        <v>358</v>
      </c>
      <c r="D11" s="7">
        <v>132252.14000000001</v>
      </c>
      <c r="E11" s="7">
        <v>132252.14000000001</v>
      </c>
      <c r="F11" s="7">
        <v>2204.1999999999998</v>
      </c>
      <c r="G11" s="7" t="s">
        <v>22</v>
      </c>
      <c r="H11" s="7" t="s">
        <v>22</v>
      </c>
      <c r="I11" s="7">
        <v>-4.9000000000000002E-2</v>
      </c>
      <c r="J11" s="7">
        <v>10379</v>
      </c>
      <c r="K11" s="5">
        <v>2.7999999999999997E-2</v>
      </c>
      <c r="L11" s="7">
        <v>10</v>
      </c>
      <c r="M11" s="10">
        <f>+F14/F11-1</f>
        <v>-7.5977678976499319E-2</v>
      </c>
    </row>
    <row r="12" spans="1:13" x14ac:dyDescent="0.35">
      <c r="A12" s="6" t="s">
        <v>23</v>
      </c>
      <c r="B12" s="6" t="s">
        <v>361</v>
      </c>
      <c r="C12" s="6" t="s">
        <v>355</v>
      </c>
      <c r="D12" s="6">
        <v>64753.07</v>
      </c>
      <c r="E12" s="6">
        <v>66630.91</v>
      </c>
      <c r="F12" s="6">
        <v>2221.0300000000002</v>
      </c>
      <c r="G12" s="1">
        <v>2.8999999999999998E-2</v>
      </c>
      <c r="H12" s="1">
        <v>-0.496</v>
      </c>
      <c r="I12" s="6">
        <v>-0.52100000000000002</v>
      </c>
      <c r="J12" s="6">
        <v>9696</v>
      </c>
      <c r="K12" s="1">
        <v>2.6000000000000002E-2</v>
      </c>
      <c r="L12" s="6">
        <v>11</v>
      </c>
    </row>
    <row r="13" spans="1:13" x14ac:dyDescent="0.35">
      <c r="A13" s="6" t="s">
        <v>16</v>
      </c>
      <c r="B13" s="6" t="s">
        <v>360</v>
      </c>
      <c r="C13" s="6" t="s">
        <v>355</v>
      </c>
      <c r="D13" s="6">
        <v>60950.19</v>
      </c>
      <c r="E13" s="6">
        <v>62595.85</v>
      </c>
      <c r="F13" s="6">
        <v>2086.5300000000002</v>
      </c>
      <c r="G13" s="1">
        <v>2.7000000000000003E-2</v>
      </c>
      <c r="H13" s="1">
        <v>-0.52700000000000002</v>
      </c>
      <c r="I13" s="6">
        <v>-0.55000000000000004</v>
      </c>
      <c r="J13" s="6">
        <v>6048</v>
      </c>
      <c r="K13" s="1">
        <v>1.6E-2</v>
      </c>
      <c r="L13" s="6">
        <v>12</v>
      </c>
    </row>
    <row r="14" spans="1:13" x14ac:dyDescent="0.35">
      <c r="A14" s="9" t="s">
        <v>33</v>
      </c>
      <c r="B14" s="9" t="s">
        <v>354</v>
      </c>
      <c r="C14" s="9" t="s">
        <v>357</v>
      </c>
      <c r="D14" s="9">
        <v>118945</v>
      </c>
      <c r="E14" s="9">
        <v>122204</v>
      </c>
      <c r="F14" s="9">
        <v>2036.73</v>
      </c>
      <c r="G14" s="3">
        <v>2.7000000000000003E-2</v>
      </c>
      <c r="H14" s="3">
        <v>-7.5999999999999998E-2</v>
      </c>
      <c r="I14" s="9">
        <v>-0.121</v>
      </c>
      <c r="J14" s="9">
        <v>4574</v>
      </c>
      <c r="K14" s="3">
        <v>1.2E-2</v>
      </c>
      <c r="L14" s="9">
        <v>13</v>
      </c>
    </row>
    <row r="15" spans="1:13" x14ac:dyDescent="0.35">
      <c r="A15" s="6" t="s">
        <v>35</v>
      </c>
      <c r="B15" s="6" t="s">
        <v>359</v>
      </c>
      <c r="C15" s="6" t="s">
        <v>358</v>
      </c>
      <c r="D15" s="6">
        <v>118837.78</v>
      </c>
      <c r="E15" s="6">
        <v>122284.08</v>
      </c>
      <c r="F15" s="6">
        <v>2038.07</v>
      </c>
      <c r="G15" s="1">
        <v>2.8999999999999998E-2</v>
      </c>
      <c r="H15" s="1">
        <v>-7.4999999999999997E-2</v>
      </c>
      <c r="I15" s="6">
        <v>-0.121</v>
      </c>
      <c r="J15" s="6">
        <v>3455</v>
      </c>
      <c r="K15" s="1">
        <v>9.0000000000000011E-3</v>
      </c>
      <c r="L15" s="6">
        <v>14</v>
      </c>
    </row>
    <row r="16" spans="1:13" x14ac:dyDescent="0.35">
      <c r="A16" s="6" t="s">
        <v>25</v>
      </c>
      <c r="B16" s="6" t="s">
        <v>352</v>
      </c>
      <c r="C16" s="6" t="s">
        <v>357</v>
      </c>
      <c r="D16" s="6">
        <v>138998</v>
      </c>
      <c r="E16" s="6">
        <v>142889.95000000001</v>
      </c>
      <c r="F16" s="6">
        <v>2381.5</v>
      </c>
      <c r="G16" s="1">
        <v>2.7999999999999997E-2</v>
      </c>
      <c r="H16" s="1">
        <v>0.08</v>
      </c>
      <c r="I16" s="6">
        <v>2.7999999999999997E-2</v>
      </c>
      <c r="J16" s="6">
        <v>1912</v>
      </c>
      <c r="K16" s="1">
        <v>5.0000000000000001E-3</v>
      </c>
      <c r="L16" s="6">
        <v>15</v>
      </c>
    </row>
    <row r="17" spans="1:13" x14ac:dyDescent="0.35">
      <c r="A17" s="7" t="s">
        <v>39</v>
      </c>
      <c r="B17" s="7" t="s">
        <v>356</v>
      </c>
      <c r="C17" s="7" t="s">
        <v>355</v>
      </c>
      <c r="D17" s="7">
        <v>68721.759999999995</v>
      </c>
      <c r="E17" s="7">
        <v>68721.759999999995</v>
      </c>
      <c r="F17" s="7">
        <v>2290.73</v>
      </c>
      <c r="G17" s="7" t="s">
        <v>22</v>
      </c>
      <c r="H17" s="7" t="s">
        <v>22</v>
      </c>
      <c r="I17" s="7">
        <v>-0.50600000000000001</v>
      </c>
      <c r="J17" s="7">
        <v>1450</v>
      </c>
      <c r="K17" s="5">
        <v>4.0000000000000001E-3</v>
      </c>
      <c r="L17" s="7">
        <v>16</v>
      </c>
      <c r="M17" s="10">
        <f>+F18/F17-1</f>
        <v>-8.6535733150567729E-2</v>
      </c>
    </row>
    <row r="18" spans="1:13" x14ac:dyDescent="0.35">
      <c r="A18" s="9" t="s">
        <v>33</v>
      </c>
      <c r="B18" s="9" t="s">
        <v>354</v>
      </c>
      <c r="C18" s="9" t="s">
        <v>351</v>
      </c>
      <c r="D18" s="9">
        <v>61101</v>
      </c>
      <c r="E18" s="9">
        <v>62775</v>
      </c>
      <c r="F18" s="9">
        <v>2092.5</v>
      </c>
      <c r="G18" s="3">
        <v>2.7000000000000003E-2</v>
      </c>
      <c r="H18" s="3">
        <v>-0.52500000000000002</v>
      </c>
      <c r="I18" s="9">
        <v>-0.54899999999999993</v>
      </c>
      <c r="J18" s="9">
        <v>1243</v>
      </c>
      <c r="K18" s="3">
        <v>3.0000000000000001E-3</v>
      </c>
      <c r="L18" s="9">
        <v>17</v>
      </c>
    </row>
    <row r="19" spans="1:13" x14ac:dyDescent="0.35">
      <c r="A19" s="6" t="s">
        <v>208</v>
      </c>
      <c r="B19" s="6" t="s">
        <v>353</v>
      </c>
      <c r="C19" s="6" t="s">
        <v>351</v>
      </c>
      <c r="D19" s="6">
        <v>55754.69</v>
      </c>
      <c r="E19" s="6">
        <v>55754.69</v>
      </c>
      <c r="F19" s="6">
        <v>1858.49</v>
      </c>
      <c r="G19" s="6" t="s">
        <v>22</v>
      </c>
      <c r="H19" s="1">
        <v>-0.57799999999999996</v>
      </c>
      <c r="I19" s="6">
        <v>-0.59899999999999998</v>
      </c>
      <c r="J19" s="6">
        <v>1162</v>
      </c>
      <c r="K19" s="1">
        <v>3.0000000000000001E-3</v>
      </c>
      <c r="L19" s="6">
        <v>18</v>
      </c>
    </row>
    <row r="20" spans="1:13" x14ac:dyDescent="0.35">
      <c r="A20" s="6" t="s">
        <v>25</v>
      </c>
      <c r="B20" s="6" t="s">
        <v>352</v>
      </c>
      <c r="C20" s="6" t="s">
        <v>351</v>
      </c>
      <c r="D20" s="6">
        <v>72690.89</v>
      </c>
      <c r="E20" s="6">
        <v>74726.240000000005</v>
      </c>
      <c r="F20" s="6">
        <v>2490.87</v>
      </c>
      <c r="G20" s="1">
        <v>2.7999999999999997E-2</v>
      </c>
      <c r="H20" s="1">
        <v>-0.435</v>
      </c>
      <c r="I20" s="6">
        <v>-0.46299999999999997</v>
      </c>
      <c r="J20" s="6">
        <v>878</v>
      </c>
      <c r="K20" s="1">
        <v>2E-3</v>
      </c>
      <c r="L20" s="6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4516F-ED2E-4104-9992-2F05AAC915AB}">
  <dimension ref="A1:M12"/>
  <sheetViews>
    <sheetView topLeftCell="D1" workbookViewId="0">
      <selection activeCell="M9" sqref="M9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6" t="s">
        <v>346</v>
      </c>
      <c r="B2" s="6" t="s">
        <v>345</v>
      </c>
      <c r="C2" s="6" t="s">
        <v>347</v>
      </c>
      <c r="D2" s="6">
        <v>129985.45</v>
      </c>
      <c r="E2" s="6">
        <v>133755.03</v>
      </c>
      <c r="F2" s="6">
        <v>4776.97</v>
      </c>
      <c r="G2" s="1">
        <v>2.8999999999999998E-2</v>
      </c>
      <c r="H2" s="1">
        <v>0.157</v>
      </c>
      <c r="I2" s="6" t="s">
        <v>15</v>
      </c>
      <c r="J2" s="6">
        <v>282473</v>
      </c>
      <c r="K2" s="1">
        <v>0.33700000000000002</v>
      </c>
      <c r="L2" s="6">
        <v>1</v>
      </c>
    </row>
    <row r="3" spans="1:13" x14ac:dyDescent="0.35">
      <c r="A3" s="6" t="s">
        <v>58</v>
      </c>
      <c r="B3" s="6" t="s">
        <v>344</v>
      </c>
      <c r="C3" s="6" t="s">
        <v>350</v>
      </c>
      <c r="D3" s="6">
        <v>111054.93000000001</v>
      </c>
      <c r="E3" s="6">
        <v>113276.03</v>
      </c>
      <c r="F3" s="6">
        <v>4045.57</v>
      </c>
      <c r="G3" s="1">
        <v>0.02</v>
      </c>
      <c r="H3" s="1">
        <v>-0.02</v>
      </c>
      <c r="I3" s="6">
        <v>-0.153</v>
      </c>
      <c r="J3" s="6">
        <v>216569</v>
      </c>
      <c r="K3" s="1">
        <v>0.25800000000000001</v>
      </c>
      <c r="L3" s="6">
        <v>2</v>
      </c>
    </row>
    <row r="4" spans="1:13" x14ac:dyDescent="0.35">
      <c r="A4" s="6" t="s">
        <v>23</v>
      </c>
      <c r="B4" s="6" t="s">
        <v>342</v>
      </c>
      <c r="C4" s="6" t="s">
        <v>230</v>
      </c>
      <c r="D4" s="6">
        <v>99378.63</v>
      </c>
      <c r="E4" s="6">
        <v>102260.61</v>
      </c>
      <c r="F4" s="6">
        <v>3408.69</v>
      </c>
      <c r="G4" s="1">
        <v>2.8999999999999998E-2</v>
      </c>
      <c r="H4" s="1">
        <v>-0.115</v>
      </c>
      <c r="I4" s="6">
        <v>-0.23499999999999999</v>
      </c>
      <c r="J4" s="6">
        <v>144688</v>
      </c>
      <c r="K4" s="1">
        <v>0.17199999999999999</v>
      </c>
      <c r="L4" s="6">
        <v>3</v>
      </c>
    </row>
    <row r="5" spans="1:13" x14ac:dyDescent="0.35">
      <c r="A5" s="6" t="s">
        <v>16</v>
      </c>
      <c r="B5" s="6" t="s">
        <v>341</v>
      </c>
      <c r="C5" s="6" t="s">
        <v>230</v>
      </c>
      <c r="D5" s="6">
        <v>95560.89</v>
      </c>
      <c r="E5" s="6">
        <v>97949.91</v>
      </c>
      <c r="F5" s="6">
        <v>3265</v>
      </c>
      <c r="G5" s="1">
        <v>2.5000000000000001E-2</v>
      </c>
      <c r="H5" s="1">
        <v>-0.153</v>
      </c>
      <c r="I5" s="6">
        <v>-0.26800000000000002</v>
      </c>
      <c r="J5" s="6">
        <v>73964</v>
      </c>
      <c r="K5" s="1">
        <v>8.8000000000000009E-2</v>
      </c>
      <c r="L5" s="6">
        <v>4</v>
      </c>
    </row>
    <row r="6" spans="1:13" x14ac:dyDescent="0.35">
      <c r="A6" s="6" t="s">
        <v>208</v>
      </c>
      <c r="B6" s="6" t="s">
        <v>340</v>
      </c>
      <c r="C6" s="6" t="s">
        <v>348</v>
      </c>
      <c r="D6" s="6">
        <v>110705.32</v>
      </c>
      <c r="E6" s="6">
        <v>110705.32</v>
      </c>
      <c r="F6" s="6">
        <v>3690.18</v>
      </c>
      <c r="G6" s="6" t="s">
        <v>22</v>
      </c>
      <c r="H6" s="1">
        <v>-4.2000000000000003E-2</v>
      </c>
      <c r="I6" s="6">
        <v>-0.17199999999999999</v>
      </c>
      <c r="J6" s="6">
        <v>29955</v>
      </c>
      <c r="K6" s="1">
        <v>3.6000000000000004E-2</v>
      </c>
      <c r="L6" s="6">
        <v>5</v>
      </c>
    </row>
    <row r="7" spans="1:13" x14ac:dyDescent="0.35">
      <c r="A7" s="6" t="s">
        <v>35</v>
      </c>
      <c r="B7" s="6" t="s">
        <v>339</v>
      </c>
      <c r="C7" s="6" t="s">
        <v>348</v>
      </c>
      <c r="D7" s="6">
        <v>99425.21</v>
      </c>
      <c r="E7" s="6">
        <v>99922.34</v>
      </c>
      <c r="F7" s="6">
        <v>3330.74</v>
      </c>
      <c r="G7" s="1">
        <v>5.0000000000000001E-3</v>
      </c>
      <c r="H7" s="1">
        <v>-0.13500000000000001</v>
      </c>
      <c r="I7" s="6">
        <v>-0.253</v>
      </c>
      <c r="J7" s="6">
        <v>29938</v>
      </c>
      <c r="K7" s="1">
        <v>3.6000000000000004E-2</v>
      </c>
      <c r="L7" s="6">
        <v>6</v>
      </c>
    </row>
    <row r="8" spans="1:13" x14ac:dyDescent="0.35">
      <c r="A8" s="6" t="s">
        <v>25</v>
      </c>
      <c r="B8" s="6" t="s">
        <v>334</v>
      </c>
      <c r="C8" s="6" t="s">
        <v>347</v>
      </c>
      <c r="D8" s="6">
        <v>113526.82</v>
      </c>
      <c r="E8" s="6">
        <v>116705.57</v>
      </c>
      <c r="F8" s="6">
        <v>4168.0600000000004</v>
      </c>
      <c r="G8" s="1">
        <v>2.7999999999999997E-2</v>
      </c>
      <c r="H8" s="1">
        <v>0.01</v>
      </c>
      <c r="I8" s="6">
        <v>-0.127</v>
      </c>
      <c r="J8" s="6">
        <v>23254</v>
      </c>
      <c r="K8" s="1">
        <v>2.7999999999999997E-2</v>
      </c>
      <c r="L8" s="6">
        <v>7</v>
      </c>
    </row>
    <row r="9" spans="1:13" x14ac:dyDescent="0.35">
      <c r="A9" s="7" t="s">
        <v>39</v>
      </c>
      <c r="B9" s="7" t="s">
        <v>338</v>
      </c>
      <c r="C9" s="7" t="s">
        <v>349</v>
      </c>
      <c r="D9" s="7">
        <v>115577.51000000001</v>
      </c>
      <c r="E9" s="7">
        <v>115577.51000000001</v>
      </c>
      <c r="F9" s="7">
        <v>3852.58</v>
      </c>
      <c r="G9" s="7" t="s">
        <v>22</v>
      </c>
      <c r="H9" s="7" t="s">
        <v>22</v>
      </c>
      <c r="I9" s="7">
        <v>-0.13600000000000001</v>
      </c>
      <c r="J9" s="7">
        <v>23225</v>
      </c>
      <c r="K9" s="5">
        <v>2.7999999999999997E-2</v>
      </c>
      <c r="L9" s="7">
        <v>8</v>
      </c>
      <c r="M9" s="10">
        <f>+F10/F9-1</f>
        <v>-0.14888983486390939</v>
      </c>
    </row>
    <row r="10" spans="1:13" x14ac:dyDescent="0.35">
      <c r="A10" s="9" t="s">
        <v>33</v>
      </c>
      <c r="B10" s="9" t="s">
        <v>336</v>
      </c>
      <c r="C10" s="9" t="s">
        <v>348</v>
      </c>
      <c r="D10" s="9">
        <v>95746</v>
      </c>
      <c r="E10" s="9">
        <v>98369</v>
      </c>
      <c r="F10" s="9">
        <v>3278.97</v>
      </c>
      <c r="G10" s="3">
        <v>2.7000000000000003E-2</v>
      </c>
      <c r="H10" s="3">
        <v>-0.14899999999999999</v>
      </c>
      <c r="I10" s="9">
        <v>-0.26500000000000001</v>
      </c>
      <c r="J10" s="9">
        <v>10763</v>
      </c>
      <c r="K10" s="3">
        <v>1.3000000000000001E-2</v>
      </c>
      <c r="L10" s="9">
        <v>9</v>
      </c>
    </row>
    <row r="11" spans="1:13" x14ac:dyDescent="0.35">
      <c r="A11" s="6" t="s">
        <v>37</v>
      </c>
      <c r="B11" s="6" t="s">
        <v>333</v>
      </c>
      <c r="C11" s="6" t="s">
        <v>347</v>
      </c>
      <c r="D11" s="6">
        <v>103184.43000000001</v>
      </c>
      <c r="E11" s="6">
        <v>106176.78</v>
      </c>
      <c r="F11" s="6">
        <v>3792.03</v>
      </c>
      <c r="G11" s="1">
        <v>2.8999999999999998E-2</v>
      </c>
      <c r="H11" s="1">
        <v>-8.1000000000000003E-2</v>
      </c>
      <c r="I11" s="6">
        <v>-0.20600000000000002</v>
      </c>
      <c r="J11" s="6">
        <v>3681</v>
      </c>
      <c r="K11" s="1">
        <v>4.0000000000000001E-3</v>
      </c>
      <c r="L11" s="6">
        <v>10</v>
      </c>
    </row>
    <row r="12" spans="1:13" x14ac:dyDescent="0.35">
      <c r="A12" s="6" t="s">
        <v>41</v>
      </c>
      <c r="B12" s="6" t="s">
        <v>331</v>
      </c>
      <c r="C12" s="6" t="s">
        <v>230</v>
      </c>
      <c r="D12" s="6">
        <v>110398.74</v>
      </c>
      <c r="E12" s="6">
        <v>113489.90000000001</v>
      </c>
      <c r="F12" s="6">
        <v>3783</v>
      </c>
      <c r="G12" s="1">
        <v>2.7999999999999997E-2</v>
      </c>
      <c r="H12" s="1">
        <v>-1.8000000000000002E-2</v>
      </c>
      <c r="I12" s="6">
        <v>-0.152</v>
      </c>
      <c r="J12" s="6">
        <v>454</v>
      </c>
      <c r="K12" s="1">
        <v>1E-3</v>
      </c>
      <c r="L12" s="6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2D49-D879-4771-9090-9BAFFFE23500}">
  <dimension ref="A1:M12"/>
  <sheetViews>
    <sheetView topLeftCell="C1" workbookViewId="0">
      <selection activeCell="M8" sqref="M8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6" t="s">
        <v>346</v>
      </c>
      <c r="B2" s="6" t="s">
        <v>345</v>
      </c>
      <c r="C2" s="6" t="s">
        <v>332</v>
      </c>
      <c r="D2" s="6">
        <v>121189.68000000001</v>
      </c>
      <c r="E2" s="6">
        <v>124704.19</v>
      </c>
      <c r="F2" s="6">
        <v>4453.72</v>
      </c>
      <c r="G2" s="1">
        <v>2.8999999999999998E-2</v>
      </c>
      <c r="H2" s="1">
        <v>0.157</v>
      </c>
      <c r="I2" s="6" t="s">
        <v>15</v>
      </c>
      <c r="J2" s="6">
        <v>67087</v>
      </c>
      <c r="K2" s="1">
        <v>0.308</v>
      </c>
      <c r="L2" s="6">
        <v>1</v>
      </c>
    </row>
    <row r="3" spans="1:13" x14ac:dyDescent="0.35">
      <c r="A3" s="6" t="s">
        <v>58</v>
      </c>
      <c r="B3" s="6" t="s">
        <v>344</v>
      </c>
      <c r="C3" s="6" t="s">
        <v>343</v>
      </c>
      <c r="D3" s="6">
        <v>103621.89</v>
      </c>
      <c r="E3" s="6">
        <v>105694.33</v>
      </c>
      <c r="F3" s="6">
        <v>3774.8</v>
      </c>
      <c r="G3" s="1">
        <v>0.02</v>
      </c>
      <c r="H3" s="1">
        <v>-1.9E-2</v>
      </c>
      <c r="I3" s="6">
        <v>-0.152</v>
      </c>
      <c r="J3" s="6">
        <v>54258</v>
      </c>
      <c r="K3" s="1">
        <v>0.249</v>
      </c>
      <c r="L3" s="6">
        <v>2</v>
      </c>
    </row>
    <row r="4" spans="1:13" x14ac:dyDescent="0.35">
      <c r="A4" s="6" t="s">
        <v>23</v>
      </c>
      <c r="B4" s="6" t="s">
        <v>342</v>
      </c>
      <c r="C4" s="6" t="s">
        <v>223</v>
      </c>
      <c r="D4" s="6">
        <v>92272.58</v>
      </c>
      <c r="E4" s="6">
        <v>94948.49</v>
      </c>
      <c r="F4" s="6">
        <v>3164.95</v>
      </c>
      <c r="G4" s="1">
        <v>2.8999999999999998E-2</v>
      </c>
      <c r="H4" s="1">
        <v>-0.11900000000000001</v>
      </c>
      <c r="I4" s="6">
        <v>-0.23899999999999999</v>
      </c>
      <c r="J4" s="6">
        <v>37055</v>
      </c>
      <c r="K4" s="1">
        <v>0.17</v>
      </c>
      <c r="L4" s="6">
        <v>3</v>
      </c>
    </row>
    <row r="5" spans="1:13" x14ac:dyDescent="0.35">
      <c r="A5" s="6" t="s">
        <v>16</v>
      </c>
      <c r="B5" s="6" t="s">
        <v>341</v>
      </c>
      <c r="C5" s="6" t="s">
        <v>223</v>
      </c>
      <c r="D5" s="6">
        <v>88993.71</v>
      </c>
      <c r="E5" s="6">
        <v>91218.55</v>
      </c>
      <c r="F5" s="6">
        <v>3040.62</v>
      </c>
      <c r="G5" s="1">
        <v>2.5000000000000001E-2</v>
      </c>
      <c r="H5" s="1">
        <v>-0.154</v>
      </c>
      <c r="I5" s="6">
        <v>-0.26899999999999996</v>
      </c>
      <c r="J5" s="6">
        <v>30833</v>
      </c>
      <c r="K5" s="1">
        <v>0.14099999999999999</v>
      </c>
      <c r="L5" s="6">
        <v>4</v>
      </c>
    </row>
    <row r="6" spans="1:13" x14ac:dyDescent="0.35">
      <c r="A6" s="6" t="s">
        <v>208</v>
      </c>
      <c r="B6" s="6" t="s">
        <v>340</v>
      </c>
      <c r="C6" s="6" t="s">
        <v>335</v>
      </c>
      <c r="D6" s="6">
        <v>103214.19</v>
      </c>
      <c r="E6" s="6">
        <v>103214.19</v>
      </c>
      <c r="F6" s="6">
        <v>3440.47</v>
      </c>
      <c r="G6" s="6" t="s">
        <v>22</v>
      </c>
      <c r="H6" s="1">
        <v>-4.2000000000000003E-2</v>
      </c>
      <c r="I6" s="6">
        <v>-0.17199999999999999</v>
      </c>
      <c r="J6" s="6">
        <v>10174</v>
      </c>
      <c r="K6" s="1">
        <v>4.7E-2</v>
      </c>
      <c r="L6" s="6">
        <v>5</v>
      </c>
    </row>
    <row r="7" spans="1:13" x14ac:dyDescent="0.35">
      <c r="A7" s="6" t="s">
        <v>35</v>
      </c>
      <c r="B7" s="6" t="s">
        <v>339</v>
      </c>
      <c r="C7" s="6" t="s">
        <v>335</v>
      </c>
      <c r="D7" s="6">
        <v>92962.5</v>
      </c>
      <c r="E7" s="6">
        <v>93892.13</v>
      </c>
      <c r="F7" s="6">
        <v>3129.74</v>
      </c>
      <c r="G7" s="1">
        <v>0.01</v>
      </c>
      <c r="H7" s="1">
        <v>-0.129</v>
      </c>
      <c r="I7" s="6">
        <v>-0.247</v>
      </c>
      <c r="J7" s="6">
        <v>6994</v>
      </c>
      <c r="K7" s="1">
        <v>3.2000000000000001E-2</v>
      </c>
      <c r="L7" s="6">
        <v>6</v>
      </c>
    </row>
    <row r="8" spans="1:13" x14ac:dyDescent="0.35">
      <c r="A8" s="7" t="s">
        <v>39</v>
      </c>
      <c r="B8" s="7" t="s">
        <v>338</v>
      </c>
      <c r="C8" s="7" t="s">
        <v>337</v>
      </c>
      <c r="D8" s="7">
        <v>107768.22</v>
      </c>
      <c r="E8" s="7">
        <v>107768.22</v>
      </c>
      <c r="F8" s="7">
        <v>3592.27</v>
      </c>
      <c r="G8" s="7" t="s">
        <v>22</v>
      </c>
      <c r="H8" s="7" t="s">
        <v>22</v>
      </c>
      <c r="I8" s="7">
        <v>-0.13600000000000001</v>
      </c>
      <c r="J8" s="7">
        <v>5182</v>
      </c>
      <c r="K8" s="5">
        <v>2.4E-2</v>
      </c>
      <c r="L8" s="7">
        <v>7</v>
      </c>
      <c r="M8" s="10">
        <f>+F9/F8-1</f>
        <v>-0.15054547681549557</v>
      </c>
    </row>
    <row r="9" spans="1:13" x14ac:dyDescent="0.35">
      <c r="A9" s="9" t="s">
        <v>33</v>
      </c>
      <c r="B9" s="9" t="s">
        <v>336</v>
      </c>
      <c r="C9" s="9" t="s">
        <v>335</v>
      </c>
      <c r="D9" s="9">
        <v>89103</v>
      </c>
      <c r="E9" s="9">
        <v>91544</v>
      </c>
      <c r="F9" s="9">
        <v>3051.47</v>
      </c>
      <c r="G9" s="3">
        <v>2.7000000000000003E-2</v>
      </c>
      <c r="H9" s="3">
        <v>-0.151</v>
      </c>
      <c r="I9" s="9">
        <v>-0.26600000000000001</v>
      </c>
      <c r="J9" s="9">
        <v>3065</v>
      </c>
      <c r="K9" s="3">
        <v>1.3999999999999999E-2</v>
      </c>
      <c r="L9" s="9">
        <v>8</v>
      </c>
    </row>
    <row r="10" spans="1:13" x14ac:dyDescent="0.35">
      <c r="A10" s="6" t="s">
        <v>25</v>
      </c>
      <c r="B10" s="6" t="s">
        <v>334</v>
      </c>
      <c r="C10" s="6" t="s">
        <v>332</v>
      </c>
      <c r="D10" s="6">
        <v>105928.3</v>
      </c>
      <c r="E10" s="6">
        <v>108894.29000000001</v>
      </c>
      <c r="F10" s="6">
        <v>3889.08</v>
      </c>
      <c r="G10" s="1">
        <v>2.7999999999999997E-2</v>
      </c>
      <c r="H10" s="1">
        <v>0.01</v>
      </c>
      <c r="I10" s="6">
        <v>-0.127</v>
      </c>
      <c r="J10" s="6">
        <v>2556</v>
      </c>
      <c r="K10" s="1">
        <v>1.2E-2</v>
      </c>
      <c r="L10" s="6">
        <v>9</v>
      </c>
    </row>
    <row r="11" spans="1:13" x14ac:dyDescent="0.35">
      <c r="A11" s="6" t="s">
        <v>37</v>
      </c>
      <c r="B11" s="6" t="s">
        <v>333</v>
      </c>
      <c r="C11" s="6" t="s">
        <v>332</v>
      </c>
      <c r="D11" s="6">
        <v>99012.5</v>
      </c>
      <c r="E11" s="6">
        <v>101883.86</v>
      </c>
      <c r="F11" s="6">
        <v>3638.71</v>
      </c>
      <c r="G11" s="1">
        <v>2.8999999999999998E-2</v>
      </c>
      <c r="H11" s="1">
        <v>-5.5E-2</v>
      </c>
      <c r="I11" s="6">
        <v>-0.183</v>
      </c>
      <c r="J11" s="6">
        <v>761</v>
      </c>
      <c r="K11" s="1">
        <v>3.0000000000000001E-3</v>
      </c>
      <c r="L11" s="6">
        <v>10</v>
      </c>
    </row>
    <row r="12" spans="1:13" x14ac:dyDescent="0.35">
      <c r="A12" s="6" t="s">
        <v>41</v>
      </c>
      <c r="B12" s="6" t="s">
        <v>331</v>
      </c>
      <c r="C12" s="6" t="s">
        <v>223</v>
      </c>
      <c r="D12" s="6">
        <v>102782.08</v>
      </c>
      <c r="E12" s="6">
        <v>105762.76000000001</v>
      </c>
      <c r="F12" s="6">
        <v>3525.43</v>
      </c>
      <c r="G12" s="1">
        <v>2.8999999999999998E-2</v>
      </c>
      <c r="H12" s="1">
        <v>-1.9E-2</v>
      </c>
      <c r="I12" s="6">
        <v>-0.152</v>
      </c>
      <c r="J12" s="6">
        <v>81</v>
      </c>
      <c r="K12" s="6" t="s">
        <v>22</v>
      </c>
      <c r="L12" s="6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66020-1E12-4E58-865F-ECE1A0141F95}">
  <dimension ref="B3:E19"/>
  <sheetViews>
    <sheetView workbookViewId="0">
      <selection activeCell="B17" sqref="B17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4" width="14.83203125" style="6" customWidth="1"/>
    <col min="5" max="5" width="12.83203125" style="6" customWidth="1"/>
    <col min="6" max="7" width="8.83203125" style="6" customWidth="1"/>
    <col min="8" max="8" width="10.83203125" style="6" customWidth="1"/>
    <col min="9" max="9" width="12.83203125" style="6" customWidth="1"/>
    <col min="10" max="10" width="8.83203125" style="6" customWidth="1"/>
    <col min="11" max="11" width="6.83203125" style="6" customWidth="1"/>
    <col min="12" max="16384" width="10.6640625" style="6"/>
  </cols>
  <sheetData>
    <row r="3" spans="2:5" x14ac:dyDescent="0.35">
      <c r="B3" s="18" t="s">
        <v>330</v>
      </c>
      <c r="C3" s="18" t="s">
        <v>2</v>
      </c>
      <c r="D3" s="18" t="s">
        <v>329</v>
      </c>
    </row>
    <row r="4" spans="2:5" x14ac:dyDescent="0.35">
      <c r="B4" s="16" t="s">
        <v>328</v>
      </c>
      <c r="C4" s="17" t="s">
        <v>327</v>
      </c>
      <c r="D4" s="19">
        <v>29253</v>
      </c>
      <c r="E4" s="10">
        <f>+D7/D4-1</f>
        <v>-1.0631388233685479E-2</v>
      </c>
    </row>
    <row r="5" spans="2:5" x14ac:dyDescent="0.35">
      <c r="B5" s="16" t="s">
        <v>328</v>
      </c>
      <c r="C5" s="17" t="s">
        <v>326</v>
      </c>
      <c r="D5" s="19">
        <v>32596</v>
      </c>
      <c r="E5" s="10">
        <f t="shared" ref="E5" si="0">+D8/D5-1</f>
        <v>-3.5863296109952092E-2</v>
      </c>
    </row>
    <row r="6" spans="2:5" x14ac:dyDescent="0.35">
      <c r="B6" s="16" t="s">
        <v>328</v>
      </c>
      <c r="C6" s="17" t="s">
        <v>324</v>
      </c>
      <c r="D6" s="19">
        <v>58715</v>
      </c>
      <c r="E6" s="10">
        <f>+D9/D6-1</f>
        <v>-0.2158051605211615</v>
      </c>
    </row>
    <row r="7" spans="2:5" x14ac:dyDescent="0.35">
      <c r="B7" s="16" t="s">
        <v>325</v>
      </c>
      <c r="C7" s="17" t="s">
        <v>327</v>
      </c>
      <c r="D7" s="19">
        <v>28942</v>
      </c>
    </row>
    <row r="8" spans="2:5" x14ac:dyDescent="0.35">
      <c r="B8" s="16" t="s">
        <v>325</v>
      </c>
      <c r="C8" s="17" t="s">
        <v>326</v>
      </c>
      <c r="D8" s="19">
        <v>31427</v>
      </c>
    </row>
    <row r="9" spans="2:5" x14ac:dyDescent="0.35">
      <c r="B9" s="16" t="s">
        <v>325</v>
      </c>
      <c r="C9" s="17" t="s">
        <v>324</v>
      </c>
      <c r="D9" s="19">
        <v>46044</v>
      </c>
    </row>
    <row r="13" spans="2:5" x14ac:dyDescent="0.35">
      <c r="B13" s="20"/>
      <c r="C13" s="20"/>
      <c r="D13" s="20"/>
    </row>
    <row r="14" spans="2:5" x14ac:dyDescent="0.35">
      <c r="B14" s="22"/>
      <c r="C14" s="21"/>
      <c r="D14" s="22"/>
    </row>
    <row r="15" spans="2:5" x14ac:dyDescent="0.35">
      <c r="B15" s="22"/>
      <c r="C15" s="21"/>
      <c r="D15" s="22"/>
    </row>
    <row r="16" spans="2:5" x14ac:dyDescent="0.35">
      <c r="B16" s="22"/>
      <c r="C16" s="21"/>
      <c r="D16" s="22"/>
    </row>
    <row r="17" spans="2:4" x14ac:dyDescent="0.35">
      <c r="B17" s="22"/>
      <c r="C17" s="21"/>
      <c r="D17" s="22"/>
    </row>
    <row r="18" spans="2:4" x14ac:dyDescent="0.35">
      <c r="B18" s="22"/>
      <c r="C18" s="21"/>
      <c r="D18" s="23"/>
    </row>
    <row r="19" spans="2:4" x14ac:dyDescent="0.35">
      <c r="B19" s="22"/>
      <c r="C19" s="21"/>
      <c r="D19" s="2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7907-BFD8-4637-BD7D-74BD6513DA8D}">
  <dimension ref="A1:M24"/>
  <sheetViews>
    <sheetView topLeftCell="C1" workbookViewId="0">
      <selection activeCell="M11" sqref="M11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6" t="s">
        <v>58</v>
      </c>
      <c r="B2" s="6" t="s">
        <v>292</v>
      </c>
      <c r="C2" s="6" t="s">
        <v>319</v>
      </c>
      <c r="D2" s="6">
        <v>71060.95</v>
      </c>
      <c r="E2" s="6">
        <v>73121.72</v>
      </c>
      <c r="F2" s="6">
        <v>2437.39</v>
      </c>
      <c r="G2" s="1">
        <v>2.8999999999999998E-2</v>
      </c>
      <c r="H2" s="1">
        <v>-4.5999999999999999E-2</v>
      </c>
      <c r="I2" s="6" t="s">
        <v>15</v>
      </c>
      <c r="J2" s="6">
        <v>196671</v>
      </c>
      <c r="K2" s="1">
        <v>0.23800000000000002</v>
      </c>
      <c r="L2" s="6">
        <v>1</v>
      </c>
    </row>
    <row r="3" spans="1:13" x14ac:dyDescent="0.35">
      <c r="A3" s="6" t="s">
        <v>33</v>
      </c>
      <c r="B3" s="9" t="s">
        <v>287</v>
      </c>
      <c r="C3" s="9" t="s">
        <v>319</v>
      </c>
      <c r="D3" s="9">
        <v>75646</v>
      </c>
      <c r="E3" s="9">
        <v>77840</v>
      </c>
      <c r="F3" s="9">
        <v>2594.67</v>
      </c>
      <c r="G3" s="3">
        <v>2.8999999999999998E-2</v>
      </c>
      <c r="H3" s="3">
        <v>1.6E-2</v>
      </c>
      <c r="I3" s="9">
        <v>6.5000000000000002E-2</v>
      </c>
      <c r="J3" s="9">
        <v>124066</v>
      </c>
      <c r="K3" s="3">
        <v>0.15</v>
      </c>
      <c r="L3" s="9">
        <v>2</v>
      </c>
    </row>
    <row r="4" spans="1:13" x14ac:dyDescent="0.35">
      <c r="A4" s="6" t="s">
        <v>28</v>
      </c>
      <c r="B4" s="6" t="s">
        <v>272</v>
      </c>
      <c r="C4" s="6" t="s">
        <v>317</v>
      </c>
      <c r="D4" s="6">
        <v>75172.78</v>
      </c>
      <c r="E4" s="6">
        <v>77025.790000000008</v>
      </c>
      <c r="F4" s="6">
        <v>2567.5300000000002</v>
      </c>
      <c r="G4" s="1">
        <v>2.5000000000000001E-2</v>
      </c>
      <c r="H4" s="1">
        <v>5.0000000000000001E-3</v>
      </c>
      <c r="I4" s="6">
        <v>5.2999999999999999E-2</v>
      </c>
      <c r="J4" s="6">
        <v>93984</v>
      </c>
      <c r="K4" s="1">
        <v>0.114</v>
      </c>
      <c r="L4" s="6">
        <v>3</v>
      </c>
    </row>
    <row r="5" spans="1:13" x14ac:dyDescent="0.35">
      <c r="A5" s="6" t="s">
        <v>16</v>
      </c>
      <c r="B5" s="6" t="s">
        <v>276</v>
      </c>
      <c r="C5" s="6" t="s">
        <v>323</v>
      </c>
      <c r="D5" s="6">
        <v>68857.850000000006</v>
      </c>
      <c r="E5" s="6">
        <v>70854.73</v>
      </c>
      <c r="F5" s="6">
        <v>2361.8200000000002</v>
      </c>
      <c r="G5" s="1">
        <v>2.8999999999999998E-2</v>
      </c>
      <c r="H5" s="1">
        <v>-7.4999999999999997E-2</v>
      </c>
      <c r="I5" s="6">
        <v>-3.1E-2</v>
      </c>
      <c r="J5" s="6">
        <v>86218</v>
      </c>
      <c r="K5" s="1">
        <v>0.10400000000000001</v>
      </c>
      <c r="L5" s="6">
        <v>4</v>
      </c>
    </row>
    <row r="6" spans="1:13" x14ac:dyDescent="0.35">
      <c r="A6" s="6" t="s">
        <v>23</v>
      </c>
      <c r="B6" s="6" t="s">
        <v>270</v>
      </c>
      <c r="C6" s="6" t="s">
        <v>319</v>
      </c>
      <c r="D6" s="6">
        <v>67768.37</v>
      </c>
      <c r="E6" s="6">
        <v>70411.33</v>
      </c>
      <c r="F6" s="6">
        <v>2347.04</v>
      </c>
      <c r="G6" s="1">
        <v>3.9E-2</v>
      </c>
      <c r="H6" s="1">
        <v>-8.1000000000000003E-2</v>
      </c>
      <c r="I6" s="6">
        <v>-3.7000000000000005E-2</v>
      </c>
      <c r="J6" s="6">
        <v>67287</v>
      </c>
      <c r="K6" s="1">
        <v>8.1000000000000003E-2</v>
      </c>
      <c r="L6" s="6">
        <v>5</v>
      </c>
    </row>
    <row r="7" spans="1:13" x14ac:dyDescent="0.35">
      <c r="A7" s="6" t="s">
        <v>25</v>
      </c>
      <c r="B7" s="6" t="s">
        <v>293</v>
      </c>
      <c r="C7" s="6" t="s">
        <v>317</v>
      </c>
      <c r="D7" s="6">
        <v>76002.240000000005</v>
      </c>
      <c r="E7" s="6">
        <v>78130.3</v>
      </c>
      <c r="F7" s="6">
        <v>2604.34</v>
      </c>
      <c r="G7" s="1">
        <v>2.7999999999999997E-2</v>
      </c>
      <c r="H7" s="1">
        <v>0.02</v>
      </c>
      <c r="I7" s="6">
        <v>6.8000000000000005E-2</v>
      </c>
      <c r="J7" s="6">
        <v>44855</v>
      </c>
      <c r="K7" s="1">
        <v>5.4000000000000006E-2</v>
      </c>
      <c r="L7" s="6">
        <v>6</v>
      </c>
    </row>
    <row r="8" spans="1:13" x14ac:dyDescent="0.35">
      <c r="A8" s="6" t="s">
        <v>28</v>
      </c>
      <c r="B8" s="6" t="s">
        <v>272</v>
      </c>
      <c r="C8" s="6" t="s">
        <v>322</v>
      </c>
      <c r="D8" s="6">
        <v>74672.27</v>
      </c>
      <c r="E8" s="6">
        <v>76512.95</v>
      </c>
      <c r="F8" s="6">
        <v>2732.61</v>
      </c>
      <c r="G8" s="1">
        <v>2.5000000000000001E-2</v>
      </c>
      <c r="H8" s="1">
        <v>-2E-3</v>
      </c>
      <c r="I8" s="6">
        <v>4.5999999999999999E-2</v>
      </c>
      <c r="J8" s="6">
        <v>42333</v>
      </c>
      <c r="K8" s="1">
        <v>5.0999999999999997E-2</v>
      </c>
      <c r="L8" s="6">
        <v>7</v>
      </c>
    </row>
    <row r="9" spans="1:13" x14ac:dyDescent="0.35">
      <c r="A9" s="6" t="s">
        <v>208</v>
      </c>
      <c r="B9" s="6" t="s">
        <v>291</v>
      </c>
      <c r="C9" s="6" t="s">
        <v>319</v>
      </c>
      <c r="D9" s="6">
        <v>74531.73</v>
      </c>
      <c r="E9" s="6">
        <v>74531.73</v>
      </c>
      <c r="F9" s="6">
        <v>2484.39</v>
      </c>
      <c r="G9" s="6" t="s">
        <v>22</v>
      </c>
      <c r="H9" s="1">
        <v>-2.7000000000000003E-2</v>
      </c>
      <c r="I9" s="6">
        <v>1.9E-2</v>
      </c>
      <c r="J9" s="6">
        <v>29694</v>
      </c>
      <c r="K9" s="1">
        <v>3.6000000000000004E-2</v>
      </c>
      <c r="L9" s="6">
        <v>8</v>
      </c>
    </row>
    <row r="10" spans="1:13" x14ac:dyDescent="0.35">
      <c r="A10" s="6" t="s">
        <v>170</v>
      </c>
      <c r="B10" s="6" t="s">
        <v>290</v>
      </c>
      <c r="C10" s="6" t="s">
        <v>317</v>
      </c>
      <c r="D10" s="6">
        <v>54114.05</v>
      </c>
      <c r="E10" s="6">
        <v>55196.32</v>
      </c>
      <c r="F10" s="6">
        <v>1839.88</v>
      </c>
      <c r="G10" s="1">
        <v>0.02</v>
      </c>
      <c r="H10" s="1">
        <v>-0.28000000000000003</v>
      </c>
      <c r="I10" s="6">
        <v>-0.245</v>
      </c>
      <c r="J10" s="6">
        <v>25511</v>
      </c>
      <c r="K10" s="1">
        <v>3.1E-2</v>
      </c>
      <c r="L10" s="6">
        <v>9</v>
      </c>
    </row>
    <row r="11" spans="1:13" x14ac:dyDescent="0.35">
      <c r="A11" s="6" t="s">
        <v>39</v>
      </c>
      <c r="B11" s="7" t="s">
        <v>289</v>
      </c>
      <c r="C11" s="7" t="s">
        <v>319</v>
      </c>
      <c r="D11" s="7">
        <v>76632.2</v>
      </c>
      <c r="E11" s="7">
        <v>76632.2</v>
      </c>
      <c r="F11" s="7">
        <v>2554.41</v>
      </c>
      <c r="G11" s="7" t="s">
        <v>22</v>
      </c>
      <c r="H11" s="7" t="s">
        <v>22</v>
      </c>
      <c r="I11" s="7">
        <v>4.8000000000000001E-2</v>
      </c>
      <c r="J11" s="7">
        <v>19270</v>
      </c>
      <c r="K11" s="5">
        <v>2.3E-2</v>
      </c>
      <c r="L11" s="7">
        <v>10</v>
      </c>
      <c r="M11" s="8">
        <f>+F3/F11-1</f>
        <v>1.5760978073214638E-2</v>
      </c>
    </row>
    <row r="12" spans="1:13" x14ac:dyDescent="0.35">
      <c r="A12" s="6" t="s">
        <v>35</v>
      </c>
      <c r="B12" s="6" t="s">
        <v>284</v>
      </c>
      <c r="C12" s="6" t="s">
        <v>317</v>
      </c>
      <c r="D12" s="6">
        <v>68126</v>
      </c>
      <c r="E12" s="6">
        <v>69488.52</v>
      </c>
      <c r="F12" s="6">
        <v>2316.2800000000002</v>
      </c>
      <c r="G12" s="1">
        <v>0.02</v>
      </c>
      <c r="H12" s="1">
        <v>-9.3000000000000013E-2</v>
      </c>
      <c r="I12" s="6">
        <v>-0.05</v>
      </c>
      <c r="J12" s="6">
        <v>18033</v>
      </c>
      <c r="K12" s="1">
        <v>2.2000000000000002E-2</v>
      </c>
      <c r="L12" s="6">
        <v>11</v>
      </c>
    </row>
    <row r="13" spans="1:13" x14ac:dyDescent="0.35">
      <c r="A13" s="6" t="s">
        <v>12</v>
      </c>
      <c r="B13" s="6" t="s">
        <v>274</v>
      </c>
      <c r="C13" s="6" t="s">
        <v>322</v>
      </c>
      <c r="D13" s="6">
        <v>99560.2</v>
      </c>
      <c r="E13" s="6">
        <v>101551.40000000001</v>
      </c>
      <c r="F13" s="6">
        <v>3626.84</v>
      </c>
      <c r="G13" s="1">
        <v>0.02</v>
      </c>
      <c r="H13" s="1">
        <v>0.32500000000000001</v>
      </c>
      <c r="I13" s="6">
        <v>0.38900000000000001</v>
      </c>
      <c r="J13" s="6">
        <v>16690</v>
      </c>
      <c r="K13" s="1">
        <v>0.02</v>
      </c>
      <c r="L13" s="6">
        <v>12</v>
      </c>
    </row>
    <row r="14" spans="1:13" x14ac:dyDescent="0.35">
      <c r="A14" s="6" t="s">
        <v>66</v>
      </c>
      <c r="B14" s="6" t="s">
        <v>265</v>
      </c>
      <c r="C14" s="6" t="s">
        <v>322</v>
      </c>
      <c r="D14" s="6">
        <v>60523.31</v>
      </c>
      <c r="E14" s="6">
        <v>60523.31</v>
      </c>
      <c r="F14" s="6">
        <v>2161.5500000000002</v>
      </c>
      <c r="G14" s="6" t="s">
        <v>22</v>
      </c>
      <c r="H14" s="1">
        <v>-0.21</v>
      </c>
      <c r="I14" s="6">
        <v>-0.17199999999999999</v>
      </c>
      <c r="J14" s="6">
        <v>11377</v>
      </c>
      <c r="K14" s="1">
        <v>1.3999999999999999E-2</v>
      </c>
      <c r="L14" s="6">
        <v>13</v>
      </c>
    </row>
    <row r="15" spans="1:13" x14ac:dyDescent="0.35">
      <c r="A15" s="6" t="s">
        <v>165</v>
      </c>
      <c r="B15" s="6" t="s">
        <v>321</v>
      </c>
      <c r="C15" s="6" t="s">
        <v>319</v>
      </c>
      <c r="D15" s="6">
        <v>68979.22</v>
      </c>
      <c r="E15" s="6">
        <v>71255.53</v>
      </c>
      <c r="F15" s="6">
        <v>2375.1799999999998</v>
      </c>
      <c r="G15" s="1">
        <v>3.3000000000000002E-2</v>
      </c>
      <c r="H15" s="1">
        <v>-7.0000000000000007E-2</v>
      </c>
      <c r="I15" s="6">
        <v>-2.6000000000000002E-2</v>
      </c>
      <c r="J15" s="6">
        <v>9961</v>
      </c>
      <c r="K15" s="1">
        <v>1.2E-2</v>
      </c>
      <c r="L15" s="6">
        <v>14</v>
      </c>
    </row>
    <row r="16" spans="1:13" x14ac:dyDescent="0.35">
      <c r="A16" s="6" t="s">
        <v>23</v>
      </c>
      <c r="B16" s="6" t="s">
        <v>270</v>
      </c>
      <c r="C16" s="6" t="s">
        <v>320</v>
      </c>
      <c r="D16" s="6">
        <v>67277.09</v>
      </c>
      <c r="E16" s="6">
        <v>69900.89</v>
      </c>
      <c r="F16" s="6">
        <v>2496.46</v>
      </c>
      <c r="G16" s="1">
        <v>3.9E-2</v>
      </c>
      <c r="H16" s="1">
        <v>-8.8000000000000009E-2</v>
      </c>
      <c r="I16" s="6">
        <v>-4.4000000000000004E-2</v>
      </c>
      <c r="J16" s="6">
        <v>8926</v>
      </c>
      <c r="K16" s="1">
        <v>1.1000000000000001E-2</v>
      </c>
      <c r="L16" s="6">
        <v>15</v>
      </c>
    </row>
    <row r="17" spans="1:12" x14ac:dyDescent="0.35">
      <c r="A17" s="6" t="s">
        <v>72</v>
      </c>
      <c r="B17" s="6" t="s">
        <v>258</v>
      </c>
      <c r="C17" s="6" t="s">
        <v>317</v>
      </c>
      <c r="D17" s="6">
        <v>53447.68</v>
      </c>
      <c r="E17" s="6">
        <v>54100</v>
      </c>
      <c r="F17" s="6">
        <v>1803.33</v>
      </c>
      <c r="G17" s="1">
        <v>1.2E-2</v>
      </c>
      <c r="H17" s="1">
        <v>-0.29399999999999998</v>
      </c>
      <c r="I17" s="6">
        <v>-0.26</v>
      </c>
      <c r="J17" s="6">
        <v>7220</v>
      </c>
      <c r="K17" s="1">
        <v>9.0000000000000011E-3</v>
      </c>
      <c r="L17" s="6">
        <v>16</v>
      </c>
    </row>
    <row r="18" spans="1:12" x14ac:dyDescent="0.35">
      <c r="A18" s="6" t="s">
        <v>43</v>
      </c>
      <c r="B18" s="6" t="s">
        <v>266</v>
      </c>
      <c r="C18" s="6" t="s">
        <v>317</v>
      </c>
      <c r="D18" s="6">
        <v>76677.900000000009</v>
      </c>
      <c r="E18" s="6">
        <v>76677.900000000009</v>
      </c>
      <c r="F18" s="6">
        <v>2555.9299999999998</v>
      </c>
      <c r="G18" s="6" t="s">
        <v>22</v>
      </c>
      <c r="H18" s="1">
        <v>1E-3</v>
      </c>
      <c r="I18" s="6">
        <v>4.9000000000000002E-2</v>
      </c>
      <c r="J18" s="6">
        <v>6842</v>
      </c>
      <c r="K18" s="1">
        <v>8.0000000000000002E-3</v>
      </c>
      <c r="L18" s="6">
        <v>17</v>
      </c>
    </row>
    <row r="19" spans="1:12" x14ac:dyDescent="0.35">
      <c r="A19" s="6" t="s">
        <v>88</v>
      </c>
      <c r="B19" s="6" t="s">
        <v>283</v>
      </c>
      <c r="C19" s="6" t="s">
        <v>317</v>
      </c>
      <c r="D19" s="6">
        <v>62450</v>
      </c>
      <c r="E19" s="6">
        <v>63700</v>
      </c>
      <c r="F19" s="6">
        <v>2123.33</v>
      </c>
      <c r="G19" s="1">
        <v>0.02</v>
      </c>
      <c r="H19" s="1">
        <v>-0.16899999999999998</v>
      </c>
      <c r="I19" s="6">
        <v>-0.129</v>
      </c>
      <c r="J19" s="6">
        <v>5234</v>
      </c>
      <c r="K19" s="1">
        <v>6.0000000000000001E-3</v>
      </c>
      <c r="L19" s="6">
        <v>18</v>
      </c>
    </row>
    <row r="20" spans="1:12" x14ac:dyDescent="0.35">
      <c r="A20" s="6" t="s">
        <v>66</v>
      </c>
      <c r="B20" s="6" t="s">
        <v>265</v>
      </c>
      <c r="C20" s="6" t="s">
        <v>317</v>
      </c>
      <c r="D20" s="6">
        <v>60681.62</v>
      </c>
      <c r="E20" s="6">
        <v>60681.62</v>
      </c>
      <c r="F20" s="6">
        <v>2022.72</v>
      </c>
      <c r="G20" s="6" t="s">
        <v>22</v>
      </c>
      <c r="H20" s="1">
        <v>-0.20800000000000002</v>
      </c>
      <c r="I20" s="6">
        <v>-0.17</v>
      </c>
      <c r="J20" s="6">
        <v>4310</v>
      </c>
      <c r="K20" s="1">
        <v>5.0000000000000001E-3</v>
      </c>
      <c r="L20" s="6">
        <v>19</v>
      </c>
    </row>
    <row r="21" spans="1:12" x14ac:dyDescent="0.35">
      <c r="A21" s="6" t="s">
        <v>84</v>
      </c>
      <c r="B21" s="6" t="s">
        <v>279</v>
      </c>
      <c r="C21" s="6" t="s">
        <v>319</v>
      </c>
      <c r="D21" s="6">
        <v>70261.05</v>
      </c>
      <c r="E21" s="6">
        <v>70261.05</v>
      </c>
      <c r="F21" s="6">
        <v>2342.04</v>
      </c>
      <c r="G21" s="6" t="s">
        <v>22</v>
      </c>
      <c r="H21" s="1">
        <v>-8.3000000000000004E-2</v>
      </c>
      <c r="I21" s="6">
        <v>-3.9E-2</v>
      </c>
      <c r="J21" s="6">
        <v>3991</v>
      </c>
      <c r="K21" s="1">
        <v>5.0000000000000001E-3</v>
      </c>
      <c r="L21" s="6">
        <v>20</v>
      </c>
    </row>
    <row r="22" spans="1:12" x14ac:dyDescent="0.35">
      <c r="A22" s="6" t="s">
        <v>41</v>
      </c>
      <c r="B22" s="6" t="s">
        <v>280</v>
      </c>
      <c r="C22" s="6" t="s">
        <v>317</v>
      </c>
      <c r="D22" s="6">
        <v>73859.040000000008</v>
      </c>
      <c r="E22" s="6">
        <v>76074.81</v>
      </c>
      <c r="F22" s="6">
        <v>2535.83</v>
      </c>
      <c r="G22" s="1">
        <v>0.03</v>
      </c>
      <c r="H22" s="1">
        <v>-6.9999999999999993E-3</v>
      </c>
      <c r="I22" s="6">
        <v>0.04</v>
      </c>
      <c r="J22" s="6">
        <v>3897</v>
      </c>
      <c r="K22" s="1">
        <v>5.0000000000000001E-3</v>
      </c>
      <c r="L22" s="6">
        <v>21</v>
      </c>
    </row>
    <row r="23" spans="1:12" x14ac:dyDescent="0.35">
      <c r="A23" s="6" t="s">
        <v>305</v>
      </c>
      <c r="B23" s="6" t="s">
        <v>304</v>
      </c>
      <c r="C23" s="6" t="s">
        <v>318</v>
      </c>
      <c r="D23" s="6">
        <v>44266.080000000002</v>
      </c>
      <c r="E23" s="6">
        <v>45151.4</v>
      </c>
      <c r="F23" s="6">
        <v>2257.5700000000002</v>
      </c>
      <c r="G23" s="1">
        <v>0.02</v>
      </c>
      <c r="H23" s="1">
        <v>-0.41100000000000003</v>
      </c>
      <c r="I23" s="6">
        <v>-0.38299999999999995</v>
      </c>
      <c r="J23" s="6">
        <v>986</v>
      </c>
      <c r="K23" s="1">
        <v>1E-3</v>
      </c>
      <c r="L23" s="6">
        <v>22</v>
      </c>
    </row>
    <row r="24" spans="1:12" x14ac:dyDescent="0.35">
      <c r="A24" s="6" t="s">
        <v>61</v>
      </c>
      <c r="B24" s="6" t="s">
        <v>256</v>
      </c>
      <c r="C24" s="6" t="s">
        <v>317</v>
      </c>
      <c r="D24" s="6">
        <v>54877.58</v>
      </c>
      <c r="E24" s="6">
        <v>54877.58</v>
      </c>
      <c r="F24" s="6">
        <v>1829.25</v>
      </c>
      <c r="G24" s="6" t="s">
        <v>22</v>
      </c>
      <c r="H24" s="1">
        <v>-0.28399999999999997</v>
      </c>
      <c r="I24" s="6">
        <v>-0.25</v>
      </c>
      <c r="J24" s="6">
        <v>197</v>
      </c>
      <c r="K24" s="6" t="s">
        <v>22</v>
      </c>
      <c r="L24" s="6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E24E-5B73-4B52-9E58-180652A6364F}">
  <dimension ref="A1:M47"/>
  <sheetViews>
    <sheetView topLeftCell="C1" workbookViewId="0">
      <selection activeCell="M13" sqref="M13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9" t="s">
        <v>33</v>
      </c>
      <c r="B2" s="9" t="s">
        <v>287</v>
      </c>
      <c r="C2" s="9" t="s">
        <v>307</v>
      </c>
      <c r="D2" s="9">
        <v>44747</v>
      </c>
      <c r="E2" s="9">
        <v>46044</v>
      </c>
      <c r="F2" s="9">
        <v>1534.8</v>
      </c>
      <c r="G2" s="3">
        <v>2.8999999999999998E-2</v>
      </c>
      <c r="H2" s="3">
        <v>6.2E-2</v>
      </c>
      <c r="I2" s="9" t="s">
        <v>15</v>
      </c>
      <c r="J2" s="9">
        <v>542387</v>
      </c>
      <c r="K2" s="3">
        <v>0.19399999999999998</v>
      </c>
      <c r="L2" s="9">
        <v>1</v>
      </c>
    </row>
    <row r="3" spans="1:13" x14ac:dyDescent="0.35">
      <c r="A3" s="6" t="s">
        <v>58</v>
      </c>
      <c r="B3" s="6" t="s">
        <v>292</v>
      </c>
      <c r="C3" s="6" t="s">
        <v>307</v>
      </c>
      <c r="D3" s="6">
        <v>41581.81</v>
      </c>
      <c r="E3" s="6">
        <v>42787.68</v>
      </c>
      <c r="F3" s="6">
        <v>1426.26</v>
      </c>
      <c r="G3" s="1">
        <v>2.8999999999999998E-2</v>
      </c>
      <c r="H3" s="1">
        <v>-1.3000000000000001E-2</v>
      </c>
      <c r="I3" s="6">
        <v>-0.51100000000000001</v>
      </c>
      <c r="J3" s="6">
        <v>475800</v>
      </c>
      <c r="K3" s="1">
        <v>0.17</v>
      </c>
      <c r="L3" s="6">
        <v>2</v>
      </c>
    </row>
    <row r="4" spans="1:13" x14ac:dyDescent="0.35">
      <c r="A4" s="6" t="s">
        <v>16</v>
      </c>
      <c r="B4" s="6" t="s">
        <v>276</v>
      </c>
      <c r="C4" s="6" t="s">
        <v>316</v>
      </c>
      <c r="D4" s="6">
        <v>40488.639999999999</v>
      </c>
      <c r="E4" s="6">
        <v>41581.83</v>
      </c>
      <c r="F4" s="6">
        <v>1386.06</v>
      </c>
      <c r="G4" s="1">
        <v>2.7000000000000003E-2</v>
      </c>
      <c r="H4" s="1">
        <v>-4.0999999999999995E-2</v>
      </c>
      <c r="I4" s="6">
        <v>-0.52500000000000002</v>
      </c>
      <c r="J4" s="6">
        <v>244870</v>
      </c>
      <c r="K4" s="1">
        <v>8.8000000000000009E-2</v>
      </c>
      <c r="L4" s="6">
        <v>3</v>
      </c>
    </row>
    <row r="5" spans="1:13" x14ac:dyDescent="0.35">
      <c r="A5" s="6" t="s">
        <v>28</v>
      </c>
      <c r="B5" s="6" t="s">
        <v>272</v>
      </c>
      <c r="C5" s="6" t="s">
        <v>315</v>
      </c>
      <c r="D5" s="6">
        <v>50966.630000000005</v>
      </c>
      <c r="E5" s="6">
        <v>51476.3</v>
      </c>
      <c r="F5" s="6">
        <v>1715.88</v>
      </c>
      <c r="G5" s="1">
        <v>0.01</v>
      </c>
      <c r="H5" s="1">
        <v>0.187</v>
      </c>
      <c r="I5" s="6">
        <v>-0.41200000000000003</v>
      </c>
      <c r="J5" s="6">
        <v>230728</v>
      </c>
      <c r="K5" s="1">
        <v>8.3000000000000004E-2</v>
      </c>
      <c r="L5" s="6">
        <v>4</v>
      </c>
    </row>
    <row r="6" spans="1:13" x14ac:dyDescent="0.35">
      <c r="A6" s="6" t="s">
        <v>23</v>
      </c>
      <c r="B6" s="6" t="s">
        <v>270</v>
      </c>
      <c r="C6" s="6" t="s">
        <v>307</v>
      </c>
      <c r="D6" s="6">
        <v>40091.01</v>
      </c>
      <c r="E6" s="6">
        <v>41574.370000000003</v>
      </c>
      <c r="F6" s="6">
        <v>1385.81</v>
      </c>
      <c r="G6" s="1">
        <v>3.7000000000000005E-2</v>
      </c>
      <c r="H6" s="1">
        <v>-4.0999999999999995E-2</v>
      </c>
      <c r="I6" s="6">
        <v>-0.52500000000000002</v>
      </c>
      <c r="J6" s="6">
        <v>176429</v>
      </c>
      <c r="K6" s="1">
        <v>6.3E-2</v>
      </c>
      <c r="L6" s="6">
        <v>5</v>
      </c>
    </row>
    <row r="7" spans="1:13" x14ac:dyDescent="0.35">
      <c r="A7" s="6" t="s">
        <v>25</v>
      </c>
      <c r="B7" s="6" t="s">
        <v>293</v>
      </c>
      <c r="C7" s="6" t="s">
        <v>299</v>
      </c>
      <c r="D7" s="6">
        <v>47809.79</v>
      </c>
      <c r="E7" s="6">
        <v>49148.47</v>
      </c>
      <c r="F7" s="6">
        <v>1638.28</v>
      </c>
      <c r="G7" s="1">
        <v>2.7999999999999997E-2</v>
      </c>
      <c r="H7" s="1">
        <v>0.13300000000000001</v>
      </c>
      <c r="I7" s="6">
        <v>-0.439</v>
      </c>
      <c r="J7" s="6">
        <v>120309</v>
      </c>
      <c r="K7" s="1">
        <v>4.2999999999999997E-2</v>
      </c>
      <c r="L7" s="6">
        <v>6</v>
      </c>
    </row>
    <row r="8" spans="1:13" x14ac:dyDescent="0.35">
      <c r="A8" s="6" t="s">
        <v>28</v>
      </c>
      <c r="B8" s="6" t="s">
        <v>272</v>
      </c>
      <c r="C8" s="6" t="s">
        <v>301</v>
      </c>
      <c r="D8" s="6">
        <v>45284.4</v>
      </c>
      <c r="E8" s="6">
        <v>46400.66</v>
      </c>
      <c r="F8" s="6">
        <v>1657.17</v>
      </c>
      <c r="G8" s="1">
        <v>2.5000000000000001E-2</v>
      </c>
      <c r="H8" s="1">
        <v>7.0000000000000007E-2</v>
      </c>
      <c r="I8" s="6">
        <v>-0.47</v>
      </c>
      <c r="J8" s="6">
        <v>116111</v>
      </c>
      <c r="K8" s="1">
        <v>4.2000000000000003E-2</v>
      </c>
      <c r="L8" s="6">
        <v>7</v>
      </c>
    </row>
    <row r="9" spans="1:13" x14ac:dyDescent="0.35">
      <c r="A9" s="6" t="s">
        <v>208</v>
      </c>
      <c r="B9" s="6" t="s">
        <v>291</v>
      </c>
      <c r="C9" s="6" t="s">
        <v>307</v>
      </c>
      <c r="D9" s="6">
        <v>46236.76</v>
      </c>
      <c r="E9" s="6">
        <v>46236.76</v>
      </c>
      <c r="F9" s="6">
        <v>1541.23</v>
      </c>
      <c r="G9" s="6" t="s">
        <v>22</v>
      </c>
      <c r="H9" s="1">
        <v>6.6000000000000003E-2</v>
      </c>
      <c r="I9" s="6">
        <v>-0.47200000000000003</v>
      </c>
      <c r="J9" s="6">
        <v>85777</v>
      </c>
      <c r="K9" s="1">
        <v>3.1E-2</v>
      </c>
      <c r="L9" s="6">
        <v>8</v>
      </c>
    </row>
    <row r="10" spans="1:13" x14ac:dyDescent="0.35">
      <c r="A10" s="6" t="s">
        <v>31</v>
      </c>
      <c r="B10" s="6" t="s">
        <v>267</v>
      </c>
      <c r="C10" s="6" t="s">
        <v>299</v>
      </c>
      <c r="D10" s="6">
        <v>41589.879999999997</v>
      </c>
      <c r="E10" s="6">
        <v>41589.879999999997</v>
      </c>
      <c r="F10" s="6">
        <v>1386.33</v>
      </c>
      <c r="G10" s="6" t="s">
        <v>22</v>
      </c>
      <c r="H10" s="1">
        <v>-4.0999999999999995E-2</v>
      </c>
      <c r="I10" s="6">
        <v>-0.52500000000000002</v>
      </c>
      <c r="J10" s="6">
        <v>71440</v>
      </c>
      <c r="K10" s="1">
        <v>2.6000000000000002E-2</v>
      </c>
      <c r="L10" s="6">
        <v>9</v>
      </c>
    </row>
    <row r="11" spans="1:13" x14ac:dyDescent="0.35">
      <c r="A11" s="6" t="s">
        <v>170</v>
      </c>
      <c r="B11" s="6" t="s">
        <v>290</v>
      </c>
      <c r="C11" s="6" t="s">
        <v>299</v>
      </c>
      <c r="D11" s="6">
        <v>31812.52</v>
      </c>
      <c r="E11" s="6">
        <v>32448.77</v>
      </c>
      <c r="F11" s="6">
        <v>1081.6300000000001</v>
      </c>
      <c r="G11" s="1">
        <v>0.02</v>
      </c>
      <c r="H11" s="1">
        <v>-0.252</v>
      </c>
      <c r="I11" s="6">
        <v>-0.629</v>
      </c>
      <c r="J11" s="6">
        <v>69556</v>
      </c>
      <c r="K11" s="1">
        <v>2.5000000000000001E-2</v>
      </c>
      <c r="L11" s="6">
        <v>10</v>
      </c>
    </row>
    <row r="12" spans="1:13" x14ac:dyDescent="0.35">
      <c r="A12" s="6" t="s">
        <v>58</v>
      </c>
      <c r="B12" s="6" t="s">
        <v>292</v>
      </c>
      <c r="C12" s="6" t="s">
        <v>312</v>
      </c>
      <c r="D12" s="6">
        <v>80373.680000000008</v>
      </c>
      <c r="E12" s="6">
        <v>82704.52</v>
      </c>
      <c r="F12" s="6">
        <v>1378.41</v>
      </c>
      <c r="G12" s="1">
        <v>2.8999999999999998E-2</v>
      </c>
      <c r="H12" s="1">
        <v>0.90700000000000003</v>
      </c>
      <c r="I12" s="6">
        <v>-5.5E-2</v>
      </c>
      <c r="J12" s="6">
        <v>66138</v>
      </c>
      <c r="K12" s="1">
        <v>2.4E-2</v>
      </c>
      <c r="L12" s="6">
        <v>11</v>
      </c>
    </row>
    <row r="13" spans="1:13" x14ac:dyDescent="0.35">
      <c r="A13" s="7" t="s">
        <v>39</v>
      </c>
      <c r="B13" s="7" t="s">
        <v>289</v>
      </c>
      <c r="C13" s="7" t="s">
        <v>307</v>
      </c>
      <c r="D13" s="7">
        <v>43365.49</v>
      </c>
      <c r="E13" s="7">
        <v>43365.49</v>
      </c>
      <c r="F13" s="7">
        <v>1445.52</v>
      </c>
      <c r="G13" s="7" t="s">
        <v>22</v>
      </c>
      <c r="H13" s="7" t="s">
        <v>22</v>
      </c>
      <c r="I13" s="7">
        <v>-0.505</v>
      </c>
      <c r="J13" s="7">
        <v>64586</v>
      </c>
      <c r="K13" s="5">
        <v>2.3E-2</v>
      </c>
      <c r="L13" s="7">
        <v>12</v>
      </c>
      <c r="M13" s="8">
        <f>+F2/F13-1</f>
        <v>6.176324090984564E-2</v>
      </c>
    </row>
    <row r="14" spans="1:13" x14ac:dyDescent="0.35">
      <c r="A14" s="6" t="s">
        <v>35</v>
      </c>
      <c r="B14" s="6" t="s">
        <v>284</v>
      </c>
      <c r="C14" s="6" t="s">
        <v>299</v>
      </c>
      <c r="D14" s="6">
        <v>39483.410000000003</v>
      </c>
      <c r="E14" s="6">
        <v>40273.08</v>
      </c>
      <c r="F14" s="6">
        <v>1342.44</v>
      </c>
      <c r="G14" s="1">
        <v>0.02</v>
      </c>
      <c r="H14" s="1">
        <v>-7.0999999999999994E-2</v>
      </c>
      <c r="I14" s="6">
        <v>-0.54</v>
      </c>
      <c r="J14" s="6">
        <v>53406</v>
      </c>
      <c r="K14" s="1">
        <v>1.9E-2</v>
      </c>
      <c r="L14" s="6">
        <v>13</v>
      </c>
    </row>
    <row r="15" spans="1:13" x14ac:dyDescent="0.35">
      <c r="A15" s="6" t="s">
        <v>37</v>
      </c>
      <c r="B15" s="6" t="s">
        <v>288</v>
      </c>
      <c r="C15" s="6" t="s">
        <v>299</v>
      </c>
      <c r="D15" s="6">
        <v>40634.379999999997</v>
      </c>
      <c r="E15" s="6">
        <v>41812.78</v>
      </c>
      <c r="F15" s="6">
        <v>1393.76</v>
      </c>
      <c r="G15" s="1">
        <v>2.8999999999999998E-2</v>
      </c>
      <c r="H15" s="1">
        <v>-3.6000000000000004E-2</v>
      </c>
      <c r="I15" s="6">
        <v>-0.52200000000000002</v>
      </c>
      <c r="J15" s="6">
        <v>50528</v>
      </c>
      <c r="K15" s="1">
        <v>1.8000000000000002E-2</v>
      </c>
      <c r="L15" s="6">
        <v>14</v>
      </c>
    </row>
    <row r="16" spans="1:13" x14ac:dyDescent="0.35">
      <c r="A16" s="6" t="s">
        <v>88</v>
      </c>
      <c r="B16" s="6" t="s">
        <v>283</v>
      </c>
      <c r="C16" s="6" t="s">
        <v>299</v>
      </c>
      <c r="D16" s="6">
        <v>36500</v>
      </c>
      <c r="E16" s="6">
        <v>37230</v>
      </c>
      <c r="F16" s="6">
        <v>1241</v>
      </c>
      <c r="G16" s="1">
        <v>0.02</v>
      </c>
      <c r="H16" s="1">
        <v>-0.14099999999999999</v>
      </c>
      <c r="I16" s="6">
        <v>-0.57499999999999996</v>
      </c>
      <c r="J16" s="6">
        <v>46248</v>
      </c>
      <c r="K16" s="1">
        <v>1.7000000000000001E-2</v>
      </c>
      <c r="L16" s="6">
        <v>15</v>
      </c>
    </row>
    <row r="17" spans="1:12" x14ac:dyDescent="0.35">
      <c r="A17" s="6" t="s">
        <v>66</v>
      </c>
      <c r="B17" s="6" t="s">
        <v>265</v>
      </c>
      <c r="C17" s="6" t="s">
        <v>299</v>
      </c>
      <c r="D17" s="6">
        <v>34915.020000000004</v>
      </c>
      <c r="E17" s="6">
        <v>34915.020000000004</v>
      </c>
      <c r="F17" s="6">
        <v>1163.83</v>
      </c>
      <c r="G17" s="6" t="s">
        <v>22</v>
      </c>
      <c r="H17" s="1">
        <v>-0.19500000000000001</v>
      </c>
      <c r="I17" s="6">
        <v>-0.60099999999999998</v>
      </c>
      <c r="J17" s="6">
        <v>41652</v>
      </c>
      <c r="K17" s="1">
        <v>1.4999999999999999E-2</v>
      </c>
      <c r="L17" s="6">
        <v>16</v>
      </c>
    </row>
    <row r="18" spans="1:12" x14ac:dyDescent="0.35">
      <c r="A18" s="6" t="s">
        <v>12</v>
      </c>
      <c r="B18" s="6" t="s">
        <v>274</v>
      </c>
      <c r="C18" s="6" t="s">
        <v>301</v>
      </c>
      <c r="D18" s="6">
        <v>71011.42</v>
      </c>
      <c r="E18" s="6">
        <v>72431.650000000009</v>
      </c>
      <c r="F18" s="6">
        <v>2586.84</v>
      </c>
      <c r="G18" s="1">
        <v>0.02</v>
      </c>
      <c r="H18" s="1">
        <v>0.67</v>
      </c>
      <c r="I18" s="6">
        <v>-0.17300000000000001</v>
      </c>
      <c r="J18" s="6">
        <v>40202</v>
      </c>
      <c r="K18" s="1">
        <v>1.3999999999999999E-2</v>
      </c>
      <c r="L18" s="6">
        <v>17</v>
      </c>
    </row>
    <row r="19" spans="1:12" x14ac:dyDescent="0.35">
      <c r="A19" s="6" t="s">
        <v>165</v>
      </c>
      <c r="B19" s="6" t="s">
        <v>314</v>
      </c>
      <c r="C19" s="6" t="s">
        <v>307</v>
      </c>
      <c r="D19" s="6">
        <v>40499.629999999997</v>
      </c>
      <c r="E19" s="6">
        <v>41836.120000000003</v>
      </c>
      <c r="F19" s="6">
        <v>1394.54</v>
      </c>
      <c r="G19" s="1">
        <v>3.3000000000000002E-2</v>
      </c>
      <c r="H19" s="1">
        <v>-3.5000000000000003E-2</v>
      </c>
      <c r="I19" s="6">
        <v>-0.52200000000000002</v>
      </c>
      <c r="J19" s="6">
        <v>38127</v>
      </c>
      <c r="K19" s="1">
        <v>1.3999999999999999E-2</v>
      </c>
      <c r="L19" s="6">
        <v>18</v>
      </c>
    </row>
    <row r="20" spans="1:12" x14ac:dyDescent="0.35">
      <c r="A20" s="6" t="s">
        <v>282</v>
      </c>
      <c r="B20" s="6" t="s">
        <v>281</v>
      </c>
      <c r="C20" s="6" t="s">
        <v>307</v>
      </c>
      <c r="D20" s="6">
        <v>37359.65</v>
      </c>
      <c r="E20" s="6">
        <v>38443.08</v>
      </c>
      <c r="F20" s="6">
        <v>1281.44</v>
      </c>
      <c r="G20" s="1">
        <v>2.8999999999999998E-2</v>
      </c>
      <c r="H20" s="1">
        <v>-0.114</v>
      </c>
      <c r="I20" s="6">
        <v>-0.56100000000000005</v>
      </c>
      <c r="J20" s="6">
        <v>28495</v>
      </c>
      <c r="K20" s="1">
        <v>0.01</v>
      </c>
      <c r="L20" s="6">
        <v>19</v>
      </c>
    </row>
    <row r="21" spans="1:12" x14ac:dyDescent="0.35">
      <c r="A21" s="6" t="s">
        <v>43</v>
      </c>
      <c r="B21" s="6" t="s">
        <v>266</v>
      </c>
      <c r="C21" s="6" t="s">
        <v>299</v>
      </c>
      <c r="D21" s="6">
        <v>48742.06</v>
      </c>
      <c r="E21" s="6">
        <v>48742.06</v>
      </c>
      <c r="F21" s="6">
        <v>1624.74</v>
      </c>
      <c r="G21" s="6" t="s">
        <v>22</v>
      </c>
      <c r="H21" s="1">
        <v>0.124</v>
      </c>
      <c r="I21" s="6">
        <v>-0.44299999999999995</v>
      </c>
      <c r="J21" s="6">
        <v>27637</v>
      </c>
      <c r="K21" s="1">
        <v>0.01</v>
      </c>
      <c r="L21" s="6">
        <v>20</v>
      </c>
    </row>
    <row r="22" spans="1:12" x14ac:dyDescent="0.35">
      <c r="A22" s="6" t="s">
        <v>23</v>
      </c>
      <c r="B22" s="6" t="s">
        <v>270</v>
      </c>
      <c r="C22" s="6" t="s">
        <v>313</v>
      </c>
      <c r="D22" s="6">
        <v>39178.620000000003</v>
      </c>
      <c r="E22" s="6">
        <v>40706.58</v>
      </c>
      <c r="F22" s="6">
        <v>1453.81</v>
      </c>
      <c r="G22" s="1">
        <v>3.9E-2</v>
      </c>
      <c r="H22" s="1">
        <v>-6.0999999999999999E-2</v>
      </c>
      <c r="I22" s="6">
        <v>-0.53500000000000003</v>
      </c>
      <c r="J22" s="6">
        <v>24973</v>
      </c>
      <c r="K22" s="1">
        <v>9.0000000000000011E-3</v>
      </c>
      <c r="L22" s="6">
        <v>21</v>
      </c>
    </row>
    <row r="23" spans="1:12" x14ac:dyDescent="0.35">
      <c r="A23" s="6" t="s">
        <v>33</v>
      </c>
      <c r="B23" s="6" t="s">
        <v>287</v>
      </c>
      <c r="C23" s="6" t="s">
        <v>312</v>
      </c>
      <c r="D23" s="6">
        <v>85064</v>
      </c>
      <c r="E23" s="6">
        <v>87531</v>
      </c>
      <c r="F23" s="6">
        <v>1458.85</v>
      </c>
      <c r="G23" s="1">
        <v>2.8999999999999998E-2</v>
      </c>
      <c r="H23" s="1">
        <v>1.018</v>
      </c>
      <c r="I23" s="6" t="s">
        <v>15</v>
      </c>
      <c r="J23" s="6">
        <v>24028</v>
      </c>
      <c r="K23" s="1">
        <v>9.0000000000000011E-3</v>
      </c>
      <c r="L23" s="6">
        <v>22</v>
      </c>
    </row>
    <row r="24" spans="1:12" x14ac:dyDescent="0.35">
      <c r="A24" s="6" t="s">
        <v>41</v>
      </c>
      <c r="B24" s="6" t="s">
        <v>280</v>
      </c>
      <c r="C24" s="6" t="s">
        <v>299</v>
      </c>
      <c r="D24" s="6">
        <v>46434.85</v>
      </c>
      <c r="E24" s="6">
        <v>47595.72</v>
      </c>
      <c r="F24" s="6">
        <v>1586.52</v>
      </c>
      <c r="G24" s="1">
        <v>2.5000000000000001E-2</v>
      </c>
      <c r="H24" s="1">
        <v>9.8000000000000004E-2</v>
      </c>
      <c r="I24" s="6">
        <v>-0.45600000000000002</v>
      </c>
      <c r="J24" s="6">
        <v>22917</v>
      </c>
      <c r="K24" s="1">
        <v>8.0000000000000002E-3</v>
      </c>
      <c r="L24" s="6">
        <v>23</v>
      </c>
    </row>
    <row r="25" spans="1:12" x14ac:dyDescent="0.35">
      <c r="A25" s="6" t="s">
        <v>278</v>
      </c>
      <c r="B25" s="6" t="s">
        <v>277</v>
      </c>
      <c r="C25" s="6" t="s">
        <v>307</v>
      </c>
      <c r="D25" s="6">
        <v>25727.52</v>
      </c>
      <c r="E25" s="6">
        <v>26473.62</v>
      </c>
      <c r="F25" s="6">
        <v>882.45</v>
      </c>
      <c r="G25" s="1">
        <v>2.8999999999999998E-2</v>
      </c>
      <c r="H25" s="1">
        <v>-0.39</v>
      </c>
      <c r="I25" s="6">
        <v>-0.69799999999999995</v>
      </c>
      <c r="J25" s="6">
        <v>17569</v>
      </c>
      <c r="K25" s="1">
        <v>6.0000000000000001E-3</v>
      </c>
      <c r="L25" s="6">
        <v>24</v>
      </c>
    </row>
    <row r="26" spans="1:12" x14ac:dyDescent="0.35">
      <c r="A26" s="6" t="s">
        <v>84</v>
      </c>
      <c r="B26" s="6" t="s">
        <v>279</v>
      </c>
      <c r="C26" s="6" t="s">
        <v>307</v>
      </c>
      <c r="D26" s="6">
        <v>41109.67</v>
      </c>
      <c r="E26" s="6">
        <v>41109.67</v>
      </c>
      <c r="F26" s="6">
        <v>1370.32</v>
      </c>
      <c r="G26" s="6" t="s">
        <v>22</v>
      </c>
      <c r="H26" s="1">
        <v>-5.2000000000000005E-2</v>
      </c>
      <c r="I26" s="6">
        <v>-0.53</v>
      </c>
      <c r="J26" s="6">
        <v>16158</v>
      </c>
      <c r="K26" s="1">
        <v>6.0000000000000001E-3</v>
      </c>
      <c r="L26" s="6">
        <v>25</v>
      </c>
    </row>
    <row r="27" spans="1:12" x14ac:dyDescent="0.35">
      <c r="A27" s="6" t="s">
        <v>28</v>
      </c>
      <c r="B27" s="6" t="s">
        <v>272</v>
      </c>
      <c r="C27" s="6" t="s">
        <v>306</v>
      </c>
      <c r="D27" s="6">
        <v>84623</v>
      </c>
      <c r="E27" s="6">
        <v>86708.95</v>
      </c>
      <c r="F27" s="6">
        <v>1445.15</v>
      </c>
      <c r="G27" s="1">
        <v>2.5000000000000001E-2</v>
      </c>
      <c r="H27" s="1">
        <v>0.99900000000000011</v>
      </c>
      <c r="I27" s="6">
        <v>-9.0000000000000011E-3</v>
      </c>
      <c r="J27" s="6">
        <v>15340</v>
      </c>
      <c r="K27" s="1">
        <v>5.0000000000000001E-3</v>
      </c>
      <c r="L27" s="6">
        <v>26</v>
      </c>
    </row>
    <row r="28" spans="1:12" x14ac:dyDescent="0.35">
      <c r="A28" s="6" t="s">
        <v>72</v>
      </c>
      <c r="B28" s="6" t="s">
        <v>258</v>
      </c>
      <c r="C28" s="6" t="s">
        <v>299</v>
      </c>
      <c r="D28" s="6">
        <v>35203.879999999997</v>
      </c>
      <c r="E28" s="6">
        <v>36083.980000000003</v>
      </c>
      <c r="F28" s="6">
        <v>1202.8</v>
      </c>
      <c r="G28" s="1">
        <v>2.5000000000000001E-2</v>
      </c>
      <c r="H28" s="1">
        <v>-0.16800000000000001</v>
      </c>
      <c r="I28" s="6">
        <v>-0.58799999999999997</v>
      </c>
      <c r="J28" s="6">
        <v>11007</v>
      </c>
      <c r="K28" s="1">
        <v>4.0000000000000001E-3</v>
      </c>
      <c r="L28" s="6">
        <v>27</v>
      </c>
    </row>
    <row r="29" spans="1:12" x14ac:dyDescent="0.35">
      <c r="A29" s="6" t="s">
        <v>90</v>
      </c>
      <c r="B29" s="6" t="s">
        <v>273</v>
      </c>
      <c r="C29" s="6" t="s">
        <v>299</v>
      </c>
      <c r="D29" s="6">
        <v>37134.410000000003</v>
      </c>
      <c r="E29" s="6">
        <v>37134.410000000003</v>
      </c>
      <c r="F29" s="6">
        <v>1237.81</v>
      </c>
      <c r="G29" s="6" t="s">
        <v>22</v>
      </c>
      <c r="H29" s="1">
        <v>-0.14400000000000002</v>
      </c>
      <c r="I29" s="6">
        <v>-0.57600000000000007</v>
      </c>
      <c r="J29" s="6">
        <v>10880</v>
      </c>
      <c r="K29" s="1">
        <v>4.0000000000000001E-3</v>
      </c>
      <c r="L29" s="6">
        <v>28</v>
      </c>
    </row>
    <row r="30" spans="1:12" x14ac:dyDescent="0.35">
      <c r="A30" s="6" t="s">
        <v>12</v>
      </c>
      <c r="B30" s="6" t="s">
        <v>274</v>
      </c>
      <c r="C30" s="6" t="s">
        <v>311</v>
      </c>
      <c r="D30" s="6">
        <v>132153.99</v>
      </c>
      <c r="E30" s="6">
        <v>134797.07</v>
      </c>
      <c r="F30" s="6">
        <v>2407.09</v>
      </c>
      <c r="G30" s="1">
        <v>0.02</v>
      </c>
      <c r="H30" s="1">
        <v>2.1080000000000001</v>
      </c>
      <c r="I30" s="6">
        <v>0.54</v>
      </c>
      <c r="J30" s="6">
        <v>10638</v>
      </c>
      <c r="K30" s="1">
        <v>4.0000000000000001E-3</v>
      </c>
      <c r="L30" s="6">
        <v>29</v>
      </c>
    </row>
    <row r="31" spans="1:12" x14ac:dyDescent="0.35">
      <c r="A31" s="6" t="s">
        <v>16</v>
      </c>
      <c r="B31" s="6" t="s">
        <v>276</v>
      </c>
      <c r="C31" s="6" t="s">
        <v>310</v>
      </c>
      <c r="D31" s="6">
        <v>77915.820000000007</v>
      </c>
      <c r="E31" s="6">
        <v>80175.38</v>
      </c>
      <c r="F31" s="6">
        <v>1336.26</v>
      </c>
      <c r="G31" s="1">
        <v>2.8999999999999998E-2</v>
      </c>
      <c r="H31" s="1">
        <v>0.84900000000000009</v>
      </c>
      <c r="I31" s="6">
        <v>-8.4000000000000005E-2</v>
      </c>
      <c r="J31" s="6">
        <v>9872</v>
      </c>
      <c r="K31" s="1">
        <v>4.0000000000000001E-3</v>
      </c>
      <c r="L31" s="6">
        <v>30</v>
      </c>
    </row>
    <row r="32" spans="1:12" x14ac:dyDescent="0.35">
      <c r="A32" s="6" t="s">
        <v>66</v>
      </c>
      <c r="B32" s="6" t="s">
        <v>265</v>
      </c>
      <c r="C32" s="6" t="s">
        <v>301</v>
      </c>
      <c r="D32" s="6">
        <v>34287.99</v>
      </c>
      <c r="E32" s="6">
        <v>34287.99</v>
      </c>
      <c r="F32" s="6">
        <v>1224.57</v>
      </c>
      <c r="G32" s="6" t="s">
        <v>22</v>
      </c>
      <c r="H32" s="1">
        <v>-0.20899999999999999</v>
      </c>
      <c r="I32" s="6">
        <v>-0.60799999999999998</v>
      </c>
      <c r="J32" s="6">
        <v>9550</v>
      </c>
      <c r="K32" s="1">
        <v>3.0000000000000001E-3</v>
      </c>
      <c r="L32" s="6">
        <v>31</v>
      </c>
    </row>
    <row r="33" spans="1:12" x14ac:dyDescent="0.35">
      <c r="A33" s="6" t="s">
        <v>23</v>
      </c>
      <c r="B33" s="6" t="s">
        <v>270</v>
      </c>
      <c r="C33" s="6" t="s">
        <v>309</v>
      </c>
      <c r="D33" s="6">
        <v>74705.400000000009</v>
      </c>
      <c r="E33" s="6">
        <v>77469.490000000005</v>
      </c>
      <c r="F33" s="6">
        <v>1383.38</v>
      </c>
      <c r="G33" s="1">
        <v>3.7000000000000005E-2</v>
      </c>
      <c r="H33" s="1">
        <v>0.78599999999999992</v>
      </c>
      <c r="I33" s="6">
        <v>-0.115</v>
      </c>
      <c r="J33" s="6">
        <v>8698</v>
      </c>
      <c r="K33" s="1">
        <v>3.0000000000000001E-3</v>
      </c>
      <c r="L33" s="6">
        <v>32</v>
      </c>
    </row>
    <row r="34" spans="1:12" x14ac:dyDescent="0.35">
      <c r="A34" s="6" t="s">
        <v>202</v>
      </c>
      <c r="B34" s="6" t="s">
        <v>262</v>
      </c>
      <c r="C34" s="6" t="s">
        <v>299</v>
      </c>
      <c r="D34" s="6">
        <v>43348.47</v>
      </c>
      <c r="E34" s="6">
        <v>44648.92</v>
      </c>
      <c r="F34" s="6">
        <v>1488.3</v>
      </c>
      <c r="G34" s="1">
        <v>0.03</v>
      </c>
      <c r="H34" s="1">
        <v>0.03</v>
      </c>
      <c r="I34" s="6">
        <v>-0.49</v>
      </c>
      <c r="J34" s="6">
        <v>6200</v>
      </c>
      <c r="K34" s="1">
        <v>2E-3</v>
      </c>
      <c r="L34" s="6">
        <v>33</v>
      </c>
    </row>
    <row r="35" spans="1:12" x14ac:dyDescent="0.35">
      <c r="A35" s="6" t="s">
        <v>75</v>
      </c>
      <c r="B35" s="6" t="s">
        <v>268</v>
      </c>
      <c r="C35" s="6" t="s">
        <v>307</v>
      </c>
      <c r="D35" s="6">
        <v>40514.340000000004</v>
      </c>
      <c r="E35" s="6">
        <v>41729.770000000004</v>
      </c>
      <c r="F35" s="6">
        <v>1390.99</v>
      </c>
      <c r="G35" s="1">
        <v>0.03</v>
      </c>
      <c r="H35" s="1">
        <v>-3.7999999999999999E-2</v>
      </c>
      <c r="I35" s="6">
        <v>-0.52300000000000002</v>
      </c>
      <c r="J35" s="6">
        <v>4628</v>
      </c>
      <c r="K35" s="1">
        <v>2E-3</v>
      </c>
      <c r="L35" s="6">
        <v>34</v>
      </c>
    </row>
    <row r="36" spans="1:12" x14ac:dyDescent="0.35">
      <c r="A36" s="6" t="s">
        <v>78</v>
      </c>
      <c r="B36" s="6" t="s">
        <v>308</v>
      </c>
      <c r="C36" s="6" t="s">
        <v>307</v>
      </c>
      <c r="D36" s="6">
        <v>45520.38</v>
      </c>
      <c r="E36" s="6">
        <v>47341.200000000004</v>
      </c>
      <c r="F36" s="6">
        <v>1578.04</v>
      </c>
      <c r="G36" s="1">
        <v>0.04</v>
      </c>
      <c r="H36" s="1">
        <v>9.1999999999999998E-2</v>
      </c>
      <c r="I36" s="6">
        <v>-0.45899999999999996</v>
      </c>
      <c r="J36" s="6">
        <v>2815</v>
      </c>
      <c r="K36" s="1">
        <v>1E-3</v>
      </c>
      <c r="L36" s="6">
        <v>35</v>
      </c>
    </row>
    <row r="37" spans="1:12" x14ac:dyDescent="0.35">
      <c r="A37" s="6" t="s">
        <v>25</v>
      </c>
      <c r="B37" s="6" t="s">
        <v>260</v>
      </c>
      <c r="C37" s="6" t="s">
        <v>299</v>
      </c>
      <c r="D37" s="6">
        <v>63010.82</v>
      </c>
      <c r="E37" s="6">
        <v>64775.130000000005</v>
      </c>
      <c r="F37" s="6">
        <v>2159.17</v>
      </c>
      <c r="G37" s="1">
        <v>2.7999999999999997E-2</v>
      </c>
      <c r="H37" s="1">
        <v>0.49399999999999999</v>
      </c>
      <c r="I37" s="6">
        <v>-0.26</v>
      </c>
      <c r="J37" s="6">
        <v>2370</v>
      </c>
      <c r="K37" s="1">
        <v>1E-3</v>
      </c>
      <c r="L37" s="6">
        <v>36</v>
      </c>
    </row>
    <row r="38" spans="1:12" x14ac:dyDescent="0.35">
      <c r="A38" s="6" t="s">
        <v>80</v>
      </c>
      <c r="B38" s="6" t="s">
        <v>259</v>
      </c>
      <c r="C38" s="6" t="s">
        <v>307</v>
      </c>
      <c r="D38" s="6">
        <v>36368.400000000001</v>
      </c>
      <c r="E38" s="6">
        <v>37459.450000000004</v>
      </c>
      <c r="F38" s="6">
        <v>1248.6500000000001</v>
      </c>
      <c r="G38" s="1">
        <v>0.03</v>
      </c>
      <c r="H38" s="1">
        <v>-0.13600000000000001</v>
      </c>
      <c r="I38" s="6">
        <v>-0.57200000000000006</v>
      </c>
      <c r="J38" s="6">
        <v>1412</v>
      </c>
      <c r="K38" s="1">
        <v>1E-3</v>
      </c>
      <c r="L38" s="6">
        <v>37</v>
      </c>
    </row>
    <row r="39" spans="1:12" x14ac:dyDescent="0.35">
      <c r="A39" s="6" t="s">
        <v>72</v>
      </c>
      <c r="B39" s="6" t="s">
        <v>258</v>
      </c>
      <c r="C39" s="6" t="s">
        <v>306</v>
      </c>
      <c r="D39" s="6">
        <v>71701.930000000008</v>
      </c>
      <c r="E39" s="6">
        <v>73494.48</v>
      </c>
      <c r="F39" s="6">
        <v>1224.9100000000001</v>
      </c>
      <c r="G39" s="1">
        <v>2.5000000000000001E-2</v>
      </c>
      <c r="H39" s="1">
        <v>0.69499999999999995</v>
      </c>
      <c r="I39" s="6">
        <v>-0.16</v>
      </c>
      <c r="J39" s="6">
        <v>840</v>
      </c>
      <c r="K39" s="6" t="s">
        <v>22</v>
      </c>
      <c r="L39" s="6">
        <v>38</v>
      </c>
    </row>
    <row r="40" spans="1:12" x14ac:dyDescent="0.35">
      <c r="A40" s="6" t="s">
        <v>61</v>
      </c>
      <c r="B40" s="6" t="s">
        <v>256</v>
      </c>
      <c r="C40" s="6" t="s">
        <v>299</v>
      </c>
      <c r="D40" s="6">
        <v>39201.57</v>
      </c>
      <c r="E40" s="6">
        <v>39201.57</v>
      </c>
      <c r="F40" s="6">
        <v>1306.72</v>
      </c>
      <c r="G40" s="6" t="s">
        <v>22</v>
      </c>
      <c r="H40" s="1">
        <v>-9.6000000000000002E-2</v>
      </c>
      <c r="I40" s="6">
        <v>-0.55200000000000005</v>
      </c>
      <c r="J40" s="6">
        <v>800</v>
      </c>
      <c r="K40" s="6" t="s">
        <v>22</v>
      </c>
      <c r="L40" s="6">
        <v>39</v>
      </c>
    </row>
    <row r="41" spans="1:12" x14ac:dyDescent="0.35">
      <c r="A41" s="6" t="s">
        <v>72</v>
      </c>
      <c r="B41" s="6" t="s">
        <v>258</v>
      </c>
      <c r="C41" s="6" t="s">
        <v>301</v>
      </c>
      <c r="D41" s="6">
        <v>36933.9</v>
      </c>
      <c r="E41" s="6">
        <v>37857.25</v>
      </c>
      <c r="F41" s="6">
        <v>1352.04</v>
      </c>
      <c r="G41" s="1">
        <v>2.5000000000000001E-2</v>
      </c>
      <c r="H41" s="1">
        <v>-0.127</v>
      </c>
      <c r="I41" s="6">
        <v>-0.56700000000000006</v>
      </c>
      <c r="J41" s="6">
        <v>727</v>
      </c>
      <c r="K41" s="6" t="s">
        <v>22</v>
      </c>
      <c r="L41" s="6">
        <v>40</v>
      </c>
    </row>
    <row r="42" spans="1:12" x14ac:dyDescent="0.35">
      <c r="A42" s="6" t="s">
        <v>305</v>
      </c>
      <c r="B42" s="6" t="s">
        <v>304</v>
      </c>
      <c r="C42" s="6" t="s">
        <v>303</v>
      </c>
      <c r="D42" s="6">
        <v>36072.58</v>
      </c>
      <c r="E42" s="6">
        <v>36794.03</v>
      </c>
      <c r="F42" s="6">
        <v>1226.47</v>
      </c>
      <c r="G42" s="1">
        <v>0.02</v>
      </c>
      <c r="H42" s="1">
        <v>-0.152</v>
      </c>
      <c r="I42" s="6">
        <v>-0.57999999999999996</v>
      </c>
      <c r="J42" s="6">
        <v>614</v>
      </c>
      <c r="K42" s="6" t="s">
        <v>22</v>
      </c>
      <c r="L42" s="6">
        <v>41</v>
      </c>
    </row>
    <row r="43" spans="1:12" x14ac:dyDescent="0.35">
      <c r="A43" s="6" t="s">
        <v>31</v>
      </c>
      <c r="B43" s="6" t="s">
        <v>267</v>
      </c>
      <c r="C43" s="6" t="s">
        <v>302</v>
      </c>
      <c r="D43" s="6">
        <v>38817.22</v>
      </c>
      <c r="E43" s="6">
        <v>38817.22</v>
      </c>
      <c r="F43" s="6">
        <v>1386.33</v>
      </c>
      <c r="G43" s="6" t="s">
        <v>22</v>
      </c>
      <c r="H43" s="1">
        <v>-0.105</v>
      </c>
      <c r="I43" s="6">
        <v>-0.55700000000000005</v>
      </c>
      <c r="J43" s="6">
        <v>410</v>
      </c>
      <c r="K43" s="6" t="s">
        <v>22</v>
      </c>
      <c r="L43" s="6">
        <v>42</v>
      </c>
    </row>
    <row r="44" spans="1:12" x14ac:dyDescent="0.35">
      <c r="A44" s="6" t="s">
        <v>254</v>
      </c>
      <c r="B44" s="6" t="s">
        <v>253</v>
      </c>
      <c r="C44" s="6" t="s">
        <v>301</v>
      </c>
      <c r="D44" s="6">
        <v>28813.18</v>
      </c>
      <c r="E44" s="6">
        <v>28813.18</v>
      </c>
      <c r="F44" s="6">
        <v>1029.04</v>
      </c>
      <c r="G44" s="6" t="s">
        <v>22</v>
      </c>
      <c r="H44" s="1">
        <v>-0.33600000000000002</v>
      </c>
      <c r="I44" s="6">
        <v>-0.67099999999999993</v>
      </c>
      <c r="J44" s="6">
        <v>160</v>
      </c>
      <c r="K44" s="6" t="s">
        <v>22</v>
      </c>
      <c r="L44" s="6">
        <v>43</v>
      </c>
    </row>
    <row r="45" spans="1:12" x14ac:dyDescent="0.35">
      <c r="A45" s="6" t="s">
        <v>64</v>
      </c>
      <c r="B45" s="6" t="s">
        <v>300</v>
      </c>
      <c r="C45" s="6" t="s">
        <v>299</v>
      </c>
      <c r="D45" s="6">
        <v>39195.67</v>
      </c>
      <c r="E45" s="6">
        <v>39195.67</v>
      </c>
      <c r="F45" s="6">
        <v>1306.52</v>
      </c>
      <c r="G45" s="6" t="s">
        <v>22</v>
      </c>
      <c r="H45" s="1">
        <v>-9.6000000000000002E-2</v>
      </c>
      <c r="I45" s="6">
        <v>-0.55200000000000005</v>
      </c>
      <c r="J45" s="6">
        <v>104</v>
      </c>
      <c r="K45" s="6" t="s">
        <v>22</v>
      </c>
      <c r="L45" s="6">
        <v>44</v>
      </c>
    </row>
    <row r="46" spans="1:12" x14ac:dyDescent="0.35">
      <c r="A46" s="6" t="s">
        <v>108</v>
      </c>
      <c r="B46" s="6" t="s">
        <v>255</v>
      </c>
      <c r="C46" s="6" t="s">
        <v>298</v>
      </c>
      <c r="D46" s="6">
        <v>29943.13</v>
      </c>
      <c r="E46" s="6">
        <v>29943.13</v>
      </c>
      <c r="F46" s="6">
        <v>998.1</v>
      </c>
      <c r="G46" s="6" t="s">
        <v>22</v>
      </c>
      <c r="H46" s="1">
        <v>-0.31</v>
      </c>
      <c r="I46" s="6">
        <v>-0.65799999999999992</v>
      </c>
      <c r="J46" s="6">
        <v>49</v>
      </c>
      <c r="K46" s="6" t="s">
        <v>22</v>
      </c>
      <c r="L46" s="6">
        <v>45</v>
      </c>
    </row>
    <row r="47" spans="1:12" x14ac:dyDescent="0.35">
      <c r="A47" s="6" t="s">
        <v>297</v>
      </c>
      <c r="B47" s="6" t="s">
        <v>296</v>
      </c>
      <c r="C47" s="6" t="s">
        <v>137</v>
      </c>
      <c r="D47" s="6" t="s">
        <v>22</v>
      </c>
      <c r="E47" s="6" t="s">
        <v>22</v>
      </c>
      <c r="F47" s="6" t="s">
        <v>22</v>
      </c>
      <c r="G47" s="6" t="s">
        <v>22</v>
      </c>
      <c r="H47" s="6" t="s">
        <v>22</v>
      </c>
      <c r="I47" s="6" t="s">
        <v>22</v>
      </c>
      <c r="J47" s="6">
        <v>33</v>
      </c>
      <c r="K47" s="6" t="s">
        <v>22</v>
      </c>
      <c r="L47" s="6">
        <v>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5BD8-7279-4882-999D-E73C463F592D}">
  <dimension ref="A1:M47"/>
  <sheetViews>
    <sheetView topLeftCell="B1" workbookViewId="0">
      <selection activeCell="M13" sqref="M13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9" t="s">
        <v>33</v>
      </c>
      <c r="B2" s="9" t="s">
        <v>287</v>
      </c>
      <c r="C2" s="9" t="s">
        <v>18</v>
      </c>
      <c r="D2" s="9">
        <v>24983</v>
      </c>
      <c r="E2" s="9">
        <v>25707</v>
      </c>
      <c r="F2" s="9">
        <v>856.9</v>
      </c>
      <c r="G2" s="3">
        <v>2.8999999999999998E-2</v>
      </c>
      <c r="H2" s="3">
        <v>7.0999999999999994E-2</v>
      </c>
      <c r="I2" s="9" t="s">
        <v>15</v>
      </c>
      <c r="J2" s="9">
        <v>1044178</v>
      </c>
      <c r="K2" s="3">
        <v>0.19899999999999998</v>
      </c>
      <c r="L2" s="9">
        <v>1</v>
      </c>
    </row>
    <row r="3" spans="1:13" x14ac:dyDescent="0.35">
      <c r="A3" s="6" t="s">
        <v>58</v>
      </c>
      <c r="B3" s="6" t="s">
        <v>292</v>
      </c>
      <c r="C3" s="6" t="s">
        <v>18</v>
      </c>
      <c r="D3" s="6">
        <v>23443.37</v>
      </c>
      <c r="E3" s="6">
        <v>24123.22</v>
      </c>
      <c r="F3" s="6">
        <v>804.11</v>
      </c>
      <c r="G3" s="1">
        <v>2.8999999999999998E-2</v>
      </c>
      <c r="H3" s="1">
        <v>5.0000000000000001E-3</v>
      </c>
      <c r="I3" s="6">
        <v>-0.51400000000000001</v>
      </c>
      <c r="J3" s="6">
        <v>894952</v>
      </c>
      <c r="K3" s="1">
        <v>0.17100000000000001</v>
      </c>
      <c r="L3" s="6">
        <v>2</v>
      </c>
    </row>
    <row r="4" spans="1:13" x14ac:dyDescent="0.35">
      <c r="A4" s="6" t="s">
        <v>16</v>
      </c>
      <c r="B4" s="6" t="s">
        <v>276</v>
      </c>
      <c r="C4" s="6" t="s">
        <v>295</v>
      </c>
      <c r="D4" s="6">
        <v>22805.760000000002</v>
      </c>
      <c r="E4" s="6">
        <v>23467.13</v>
      </c>
      <c r="F4" s="6">
        <v>782.24</v>
      </c>
      <c r="G4" s="1">
        <v>2.8999999999999998E-2</v>
      </c>
      <c r="H4" s="1">
        <v>-2.2000000000000002E-2</v>
      </c>
      <c r="I4" s="6">
        <v>-0.52800000000000002</v>
      </c>
      <c r="J4" s="6">
        <v>408950</v>
      </c>
      <c r="K4" s="1">
        <v>7.8E-2</v>
      </c>
      <c r="L4" s="6">
        <v>3</v>
      </c>
    </row>
    <row r="5" spans="1:13" x14ac:dyDescent="0.35">
      <c r="A5" s="6" t="s">
        <v>28</v>
      </c>
      <c r="B5" s="6" t="s">
        <v>272</v>
      </c>
      <c r="C5" s="6" t="s">
        <v>294</v>
      </c>
      <c r="D5" s="6">
        <v>29285.62</v>
      </c>
      <c r="E5" s="6">
        <v>29871.33</v>
      </c>
      <c r="F5" s="6">
        <v>995.71</v>
      </c>
      <c r="G5" s="1">
        <v>0.02</v>
      </c>
      <c r="H5" s="1">
        <v>0.245</v>
      </c>
      <c r="I5" s="6">
        <v>-0.39899999999999997</v>
      </c>
      <c r="J5" s="6">
        <v>373407</v>
      </c>
      <c r="K5" s="1">
        <v>7.0999999999999994E-2</v>
      </c>
      <c r="L5" s="6">
        <v>4</v>
      </c>
    </row>
    <row r="6" spans="1:13" x14ac:dyDescent="0.35">
      <c r="A6" s="6" t="s">
        <v>23</v>
      </c>
      <c r="B6" s="6" t="s">
        <v>270</v>
      </c>
      <c r="C6" s="6" t="s">
        <v>18</v>
      </c>
      <c r="D6" s="6">
        <v>22470.09</v>
      </c>
      <c r="E6" s="6">
        <v>23346.43</v>
      </c>
      <c r="F6" s="6">
        <v>778.21</v>
      </c>
      <c r="G6" s="1">
        <v>3.9E-2</v>
      </c>
      <c r="H6" s="1">
        <v>-2.7000000000000003E-2</v>
      </c>
      <c r="I6" s="6">
        <v>-0.53</v>
      </c>
      <c r="J6" s="6">
        <v>300247</v>
      </c>
      <c r="K6" s="1">
        <v>5.7000000000000002E-2</v>
      </c>
      <c r="L6" s="6">
        <v>5</v>
      </c>
    </row>
    <row r="7" spans="1:13" x14ac:dyDescent="0.35">
      <c r="A7" s="6" t="s">
        <v>25</v>
      </c>
      <c r="B7" s="6" t="s">
        <v>293</v>
      </c>
      <c r="C7" s="6" t="s">
        <v>210</v>
      </c>
      <c r="D7" s="6">
        <v>26234.09</v>
      </c>
      <c r="E7" s="6">
        <v>26968.639999999999</v>
      </c>
      <c r="F7" s="6">
        <v>898.95</v>
      </c>
      <c r="G7" s="1">
        <v>2.7999999999999997E-2</v>
      </c>
      <c r="H7" s="1">
        <v>0.124</v>
      </c>
      <c r="I7" s="6">
        <v>-0.45700000000000002</v>
      </c>
      <c r="J7" s="6">
        <v>258007</v>
      </c>
      <c r="K7" s="1">
        <v>4.9000000000000002E-2</v>
      </c>
      <c r="L7" s="6">
        <v>6</v>
      </c>
    </row>
    <row r="8" spans="1:13" x14ac:dyDescent="0.35">
      <c r="A8" s="6" t="s">
        <v>58</v>
      </c>
      <c r="B8" s="6" t="s">
        <v>292</v>
      </c>
      <c r="C8" s="6" t="s">
        <v>286</v>
      </c>
      <c r="D8" s="6">
        <v>46242.090000000004</v>
      </c>
      <c r="E8" s="6">
        <v>47583.11</v>
      </c>
      <c r="F8" s="6">
        <v>793.05</v>
      </c>
      <c r="G8" s="1">
        <v>2.8999999999999998E-2</v>
      </c>
      <c r="H8" s="1">
        <v>0.98299999999999998</v>
      </c>
      <c r="I8" s="6">
        <v>-4.2000000000000003E-2</v>
      </c>
      <c r="J8" s="6">
        <v>184763</v>
      </c>
      <c r="K8" s="1">
        <v>3.5000000000000003E-2</v>
      </c>
      <c r="L8" s="6">
        <v>7</v>
      </c>
    </row>
    <row r="9" spans="1:13" x14ac:dyDescent="0.35">
      <c r="A9" s="6" t="s">
        <v>208</v>
      </c>
      <c r="B9" s="6" t="s">
        <v>291</v>
      </c>
      <c r="C9" s="6" t="s">
        <v>18</v>
      </c>
      <c r="D9" s="6">
        <v>25093.71</v>
      </c>
      <c r="E9" s="6">
        <v>25093.71</v>
      </c>
      <c r="F9" s="6">
        <v>836.46</v>
      </c>
      <c r="G9" s="6" t="s">
        <v>22</v>
      </c>
      <c r="H9" s="1">
        <v>4.5999999999999999E-2</v>
      </c>
      <c r="I9" s="6">
        <v>-0.495</v>
      </c>
      <c r="J9" s="6">
        <v>157437</v>
      </c>
      <c r="K9" s="1">
        <v>0.03</v>
      </c>
      <c r="L9" s="6">
        <v>8</v>
      </c>
    </row>
    <row r="10" spans="1:13" x14ac:dyDescent="0.35">
      <c r="A10" s="6" t="s">
        <v>28</v>
      </c>
      <c r="B10" s="6" t="s">
        <v>272</v>
      </c>
      <c r="C10" s="6" t="s">
        <v>14</v>
      </c>
      <c r="D10" s="6">
        <v>25629.09</v>
      </c>
      <c r="E10" s="6">
        <v>26260.850000000002</v>
      </c>
      <c r="F10" s="6">
        <v>937.89</v>
      </c>
      <c r="G10" s="1">
        <v>2.5000000000000001E-2</v>
      </c>
      <c r="H10" s="1">
        <v>9.4E-2</v>
      </c>
      <c r="I10" s="6">
        <v>-0.47100000000000003</v>
      </c>
      <c r="J10" s="6">
        <v>156893</v>
      </c>
      <c r="K10" s="1">
        <v>0.03</v>
      </c>
      <c r="L10" s="6">
        <v>9</v>
      </c>
    </row>
    <row r="11" spans="1:13" x14ac:dyDescent="0.35">
      <c r="A11" s="6" t="s">
        <v>31</v>
      </c>
      <c r="B11" s="6" t="s">
        <v>267</v>
      </c>
      <c r="C11" s="6" t="s">
        <v>210</v>
      </c>
      <c r="D11" s="6">
        <v>23470.28</v>
      </c>
      <c r="E11" s="6">
        <v>23470.28</v>
      </c>
      <c r="F11" s="6">
        <v>782.34</v>
      </c>
      <c r="G11" s="6" t="s">
        <v>22</v>
      </c>
      <c r="H11" s="1">
        <v>-2.2000000000000002E-2</v>
      </c>
      <c r="I11" s="6">
        <v>-0.52800000000000002</v>
      </c>
      <c r="J11" s="6">
        <v>124073</v>
      </c>
      <c r="K11" s="1">
        <v>2.4E-2</v>
      </c>
      <c r="L11" s="6">
        <v>10</v>
      </c>
    </row>
    <row r="12" spans="1:13" x14ac:dyDescent="0.35">
      <c r="A12" s="6" t="s">
        <v>170</v>
      </c>
      <c r="B12" s="6" t="s">
        <v>290</v>
      </c>
      <c r="C12" s="6" t="s">
        <v>210</v>
      </c>
      <c r="D12" s="6">
        <v>18057.73</v>
      </c>
      <c r="E12" s="6">
        <v>18418.89</v>
      </c>
      <c r="F12" s="6">
        <v>613.96</v>
      </c>
      <c r="G12" s="1">
        <v>0.02</v>
      </c>
      <c r="H12" s="1">
        <v>-0.23199999999999998</v>
      </c>
      <c r="I12" s="6">
        <v>-0.629</v>
      </c>
      <c r="J12" s="6">
        <v>115646</v>
      </c>
      <c r="K12" s="1">
        <v>2.2000000000000002E-2</v>
      </c>
      <c r="L12" s="6">
        <v>11</v>
      </c>
    </row>
    <row r="13" spans="1:13" x14ac:dyDescent="0.35">
      <c r="A13" s="7" t="s">
        <v>39</v>
      </c>
      <c r="B13" s="7" t="s">
        <v>289</v>
      </c>
      <c r="C13" s="7" t="s">
        <v>18</v>
      </c>
      <c r="D13" s="7">
        <v>23998.53</v>
      </c>
      <c r="E13" s="7">
        <v>23998.53</v>
      </c>
      <c r="F13" s="7">
        <v>799.95</v>
      </c>
      <c r="G13" s="7" t="s">
        <v>22</v>
      </c>
      <c r="H13" s="7" t="s">
        <v>22</v>
      </c>
      <c r="I13" s="7">
        <v>-0.51700000000000002</v>
      </c>
      <c r="J13" s="7">
        <v>109582</v>
      </c>
      <c r="K13" s="5">
        <v>2.1000000000000001E-2</v>
      </c>
      <c r="L13" s="7">
        <v>12</v>
      </c>
      <c r="M13" s="8">
        <f>+F2/F13-1</f>
        <v>7.1191949496843376E-2</v>
      </c>
    </row>
    <row r="14" spans="1:13" x14ac:dyDescent="0.35">
      <c r="A14" s="6" t="s">
        <v>37</v>
      </c>
      <c r="B14" s="6" t="s">
        <v>288</v>
      </c>
      <c r="C14" s="6" t="s">
        <v>210</v>
      </c>
      <c r="D14" s="6">
        <v>22358.21</v>
      </c>
      <c r="E14" s="6">
        <v>23006.600000000002</v>
      </c>
      <c r="F14" s="6">
        <v>766.89</v>
      </c>
      <c r="G14" s="1">
        <v>2.8999999999999998E-2</v>
      </c>
      <c r="H14" s="1">
        <v>-4.0999999999999995E-2</v>
      </c>
      <c r="I14" s="6">
        <v>-0.53700000000000003</v>
      </c>
      <c r="J14" s="6">
        <v>101261</v>
      </c>
      <c r="K14" s="1">
        <v>1.9E-2</v>
      </c>
      <c r="L14" s="6">
        <v>13</v>
      </c>
    </row>
    <row r="15" spans="1:13" x14ac:dyDescent="0.35">
      <c r="A15" s="6" t="s">
        <v>12</v>
      </c>
      <c r="B15" s="6" t="s">
        <v>274</v>
      </c>
      <c r="C15" s="6" t="s">
        <v>14</v>
      </c>
      <c r="D15" s="6">
        <v>38640.200000000004</v>
      </c>
      <c r="E15" s="6">
        <v>39799.410000000003</v>
      </c>
      <c r="F15" s="6">
        <v>1421.41</v>
      </c>
      <c r="G15" s="1">
        <v>0.03</v>
      </c>
      <c r="H15" s="1">
        <v>0.65799999999999992</v>
      </c>
      <c r="I15" s="6">
        <v>-0.19899999999999998</v>
      </c>
      <c r="J15" s="6">
        <v>90836</v>
      </c>
      <c r="K15" s="1">
        <v>1.7000000000000001E-2</v>
      </c>
      <c r="L15" s="6">
        <v>14</v>
      </c>
    </row>
    <row r="16" spans="1:13" x14ac:dyDescent="0.35">
      <c r="A16" s="6" t="s">
        <v>33</v>
      </c>
      <c r="B16" s="6" t="s">
        <v>287</v>
      </c>
      <c r="C16" s="6" t="s">
        <v>286</v>
      </c>
      <c r="D16" s="6">
        <v>48285</v>
      </c>
      <c r="E16" s="6">
        <v>49685</v>
      </c>
      <c r="F16" s="6">
        <v>828.08</v>
      </c>
      <c r="G16" s="1">
        <v>2.8999999999999998E-2</v>
      </c>
      <c r="H16" s="1">
        <v>1.07</v>
      </c>
      <c r="I16" s="6" t="s">
        <v>15</v>
      </c>
      <c r="J16" s="6">
        <v>82029</v>
      </c>
      <c r="K16" s="1">
        <v>1.6E-2</v>
      </c>
      <c r="L16" s="6">
        <v>15</v>
      </c>
    </row>
    <row r="17" spans="1:12" x14ac:dyDescent="0.35">
      <c r="A17" s="6" t="s">
        <v>165</v>
      </c>
      <c r="B17" s="6" t="s">
        <v>285</v>
      </c>
      <c r="C17" s="6" t="s">
        <v>18</v>
      </c>
      <c r="D17" s="6">
        <v>22602.61</v>
      </c>
      <c r="E17" s="6">
        <v>23348.5</v>
      </c>
      <c r="F17" s="6">
        <v>778.28</v>
      </c>
      <c r="G17" s="1">
        <v>3.3000000000000002E-2</v>
      </c>
      <c r="H17" s="1">
        <v>-2.7000000000000003E-2</v>
      </c>
      <c r="I17" s="6">
        <v>-0.53</v>
      </c>
      <c r="J17" s="6">
        <v>81609</v>
      </c>
      <c r="K17" s="1">
        <v>1.6E-2</v>
      </c>
      <c r="L17" s="6">
        <v>16</v>
      </c>
    </row>
    <row r="18" spans="1:12" x14ac:dyDescent="0.35">
      <c r="A18" s="6" t="s">
        <v>35</v>
      </c>
      <c r="B18" s="6" t="s">
        <v>284</v>
      </c>
      <c r="C18" s="6" t="s">
        <v>210</v>
      </c>
      <c r="D18" s="6">
        <v>21978.19</v>
      </c>
      <c r="E18" s="6">
        <v>22615.56</v>
      </c>
      <c r="F18" s="6">
        <v>753.85</v>
      </c>
      <c r="G18" s="1">
        <v>2.8999999999999998E-2</v>
      </c>
      <c r="H18" s="1">
        <v>-5.7999999999999996E-2</v>
      </c>
      <c r="I18" s="6">
        <v>-0.54500000000000004</v>
      </c>
      <c r="J18" s="6">
        <v>79796</v>
      </c>
      <c r="K18" s="1">
        <v>1.4999999999999999E-2</v>
      </c>
      <c r="L18" s="6">
        <v>17</v>
      </c>
    </row>
    <row r="19" spans="1:12" x14ac:dyDescent="0.35">
      <c r="A19" s="6" t="s">
        <v>88</v>
      </c>
      <c r="B19" s="6" t="s">
        <v>283</v>
      </c>
      <c r="C19" s="6" t="s">
        <v>210</v>
      </c>
      <c r="D19" s="6">
        <v>20570</v>
      </c>
      <c r="E19" s="6">
        <v>20980</v>
      </c>
      <c r="F19" s="6">
        <v>699.33</v>
      </c>
      <c r="G19" s="1">
        <v>0.02</v>
      </c>
      <c r="H19" s="1">
        <v>-0.126</v>
      </c>
      <c r="I19" s="6">
        <v>-0.57799999999999996</v>
      </c>
      <c r="J19" s="6">
        <v>77434</v>
      </c>
      <c r="K19" s="1">
        <v>1.4999999999999999E-2</v>
      </c>
      <c r="L19" s="6">
        <v>18</v>
      </c>
    </row>
    <row r="20" spans="1:12" x14ac:dyDescent="0.35">
      <c r="A20" s="6" t="s">
        <v>66</v>
      </c>
      <c r="B20" s="6" t="s">
        <v>265</v>
      </c>
      <c r="C20" s="6" t="s">
        <v>210</v>
      </c>
      <c r="D20" s="6">
        <v>19641.77</v>
      </c>
      <c r="E20" s="6">
        <v>19641.77</v>
      </c>
      <c r="F20" s="6">
        <v>654.73</v>
      </c>
      <c r="G20" s="6" t="s">
        <v>22</v>
      </c>
      <c r="H20" s="1">
        <v>-0.182</v>
      </c>
      <c r="I20" s="6">
        <v>-0.60499999999999998</v>
      </c>
      <c r="J20" s="6">
        <v>62206</v>
      </c>
      <c r="K20" s="1">
        <v>1.2E-2</v>
      </c>
      <c r="L20" s="6">
        <v>19</v>
      </c>
    </row>
    <row r="21" spans="1:12" x14ac:dyDescent="0.35">
      <c r="A21" s="6" t="s">
        <v>43</v>
      </c>
      <c r="B21" s="6" t="s">
        <v>266</v>
      </c>
      <c r="C21" s="6" t="s">
        <v>210</v>
      </c>
      <c r="D21" s="6">
        <v>26870.2</v>
      </c>
      <c r="E21" s="6">
        <v>26870.2</v>
      </c>
      <c r="F21" s="6">
        <v>895.67</v>
      </c>
      <c r="G21" s="6" t="s">
        <v>22</v>
      </c>
      <c r="H21" s="1">
        <v>0.12</v>
      </c>
      <c r="I21" s="6">
        <v>-0.45899999999999996</v>
      </c>
      <c r="J21" s="6">
        <v>60224</v>
      </c>
      <c r="K21" s="1">
        <v>1.1000000000000001E-2</v>
      </c>
      <c r="L21" s="6">
        <v>20</v>
      </c>
    </row>
    <row r="22" spans="1:12" x14ac:dyDescent="0.35">
      <c r="A22" s="6" t="s">
        <v>282</v>
      </c>
      <c r="B22" s="6" t="s">
        <v>281</v>
      </c>
      <c r="C22" s="6" t="s">
        <v>18</v>
      </c>
      <c r="D22" s="6">
        <v>21140.7</v>
      </c>
      <c r="E22" s="6">
        <v>21753.78</v>
      </c>
      <c r="F22" s="6">
        <v>725.13</v>
      </c>
      <c r="G22" s="1">
        <v>2.8999999999999998E-2</v>
      </c>
      <c r="H22" s="1">
        <v>-9.4E-2</v>
      </c>
      <c r="I22" s="6">
        <v>-0.56200000000000006</v>
      </c>
      <c r="J22" s="6">
        <v>50100</v>
      </c>
      <c r="K22" s="1">
        <v>0.01</v>
      </c>
      <c r="L22" s="6">
        <v>21</v>
      </c>
    </row>
    <row r="23" spans="1:12" x14ac:dyDescent="0.35">
      <c r="A23" s="6" t="s">
        <v>23</v>
      </c>
      <c r="B23" s="6" t="s">
        <v>270</v>
      </c>
      <c r="C23" s="6" t="s">
        <v>27</v>
      </c>
      <c r="D23" s="6">
        <v>21877.63</v>
      </c>
      <c r="E23" s="6">
        <v>22730.86</v>
      </c>
      <c r="F23" s="6">
        <v>811.82</v>
      </c>
      <c r="G23" s="1">
        <v>3.9E-2</v>
      </c>
      <c r="H23" s="1">
        <v>-5.2999999999999999E-2</v>
      </c>
      <c r="I23" s="6">
        <v>-0.54299999999999993</v>
      </c>
      <c r="J23" s="6">
        <v>45117</v>
      </c>
      <c r="K23" s="1">
        <v>9.0000000000000011E-3</v>
      </c>
      <c r="L23" s="6">
        <v>22</v>
      </c>
    </row>
    <row r="24" spans="1:12" x14ac:dyDescent="0.35">
      <c r="A24" s="6" t="s">
        <v>28</v>
      </c>
      <c r="B24" s="6" t="s">
        <v>272</v>
      </c>
      <c r="C24" s="6" t="s">
        <v>257</v>
      </c>
      <c r="D24" s="6">
        <v>48640.6</v>
      </c>
      <c r="E24" s="6">
        <v>49839.590000000004</v>
      </c>
      <c r="F24" s="6">
        <v>830.66</v>
      </c>
      <c r="G24" s="1">
        <v>2.5000000000000001E-2</v>
      </c>
      <c r="H24" s="1">
        <v>1.077</v>
      </c>
      <c r="I24" s="6">
        <v>3.0000000000000001E-3</v>
      </c>
      <c r="J24" s="6">
        <v>45015</v>
      </c>
      <c r="K24" s="1">
        <v>9.0000000000000011E-3</v>
      </c>
      <c r="L24" s="6">
        <v>23</v>
      </c>
    </row>
    <row r="25" spans="1:12" x14ac:dyDescent="0.35">
      <c r="A25" s="6" t="s">
        <v>41</v>
      </c>
      <c r="B25" s="6" t="s">
        <v>280</v>
      </c>
      <c r="C25" s="6" t="s">
        <v>210</v>
      </c>
      <c r="D25" s="6">
        <v>27796.52</v>
      </c>
      <c r="E25" s="6">
        <v>28352.45</v>
      </c>
      <c r="F25" s="6">
        <v>945.08</v>
      </c>
      <c r="G25" s="1">
        <v>0.02</v>
      </c>
      <c r="H25" s="1">
        <v>0.18100000000000002</v>
      </c>
      <c r="I25" s="6">
        <v>-0.42899999999999999</v>
      </c>
      <c r="J25" s="6">
        <v>42470</v>
      </c>
      <c r="K25" s="1">
        <v>8.0000000000000002E-3</v>
      </c>
      <c r="L25" s="6">
        <v>24</v>
      </c>
    </row>
    <row r="26" spans="1:12" x14ac:dyDescent="0.35">
      <c r="A26" s="6" t="s">
        <v>84</v>
      </c>
      <c r="B26" s="6" t="s">
        <v>279</v>
      </c>
      <c r="C26" s="6" t="s">
        <v>18</v>
      </c>
      <c r="D26" s="6">
        <v>22538.03</v>
      </c>
      <c r="E26" s="6">
        <v>22538.03</v>
      </c>
      <c r="F26" s="6">
        <v>751.27</v>
      </c>
      <c r="G26" s="6" t="s">
        <v>22</v>
      </c>
      <c r="H26" s="1">
        <v>-6.0999999999999999E-2</v>
      </c>
      <c r="I26" s="6">
        <v>-0.54600000000000004</v>
      </c>
      <c r="J26" s="6">
        <v>37858</v>
      </c>
      <c r="K26" s="1">
        <v>6.9999999999999993E-3</v>
      </c>
      <c r="L26" s="6">
        <v>25</v>
      </c>
    </row>
    <row r="27" spans="1:12" x14ac:dyDescent="0.35">
      <c r="A27" s="6" t="s">
        <v>278</v>
      </c>
      <c r="B27" s="6" t="s">
        <v>277</v>
      </c>
      <c r="C27" s="6" t="s">
        <v>18</v>
      </c>
      <c r="D27" s="6">
        <v>13887.77</v>
      </c>
      <c r="E27" s="6">
        <v>14290.52</v>
      </c>
      <c r="F27" s="6">
        <v>476.35</v>
      </c>
      <c r="G27" s="1">
        <v>2.8999999999999998E-2</v>
      </c>
      <c r="H27" s="1">
        <v>-0.40500000000000003</v>
      </c>
      <c r="I27" s="6">
        <v>-0.71200000000000008</v>
      </c>
      <c r="J27" s="6">
        <v>30726</v>
      </c>
      <c r="K27" s="1">
        <v>6.0000000000000001E-3</v>
      </c>
      <c r="L27" s="6">
        <v>26</v>
      </c>
    </row>
    <row r="28" spans="1:12" x14ac:dyDescent="0.35">
      <c r="A28" s="6" t="s">
        <v>16</v>
      </c>
      <c r="B28" s="6" t="s">
        <v>276</v>
      </c>
      <c r="C28" s="6" t="s">
        <v>275</v>
      </c>
      <c r="D28" s="6">
        <v>44758.700000000004</v>
      </c>
      <c r="E28" s="6">
        <v>46056.700000000004</v>
      </c>
      <c r="F28" s="6">
        <v>767.61</v>
      </c>
      <c r="G28" s="1">
        <v>2.8999999999999998E-2</v>
      </c>
      <c r="H28" s="1">
        <v>0.91900000000000004</v>
      </c>
      <c r="I28" s="6">
        <v>-7.2999999999999995E-2</v>
      </c>
      <c r="J28" s="6">
        <v>27162</v>
      </c>
      <c r="K28" s="1">
        <v>5.0000000000000001E-3</v>
      </c>
      <c r="L28" s="6">
        <v>27</v>
      </c>
    </row>
    <row r="29" spans="1:12" x14ac:dyDescent="0.35">
      <c r="A29" s="6" t="s">
        <v>12</v>
      </c>
      <c r="B29" s="6" t="s">
        <v>274</v>
      </c>
      <c r="C29" s="6" t="s">
        <v>271</v>
      </c>
      <c r="D29" s="6">
        <v>69686.91</v>
      </c>
      <c r="E29" s="6">
        <v>71080.650000000009</v>
      </c>
      <c r="F29" s="6">
        <v>1269.3</v>
      </c>
      <c r="G29" s="1">
        <v>0.02</v>
      </c>
      <c r="H29" s="1">
        <v>1.962</v>
      </c>
      <c r="I29" s="6">
        <v>0.43099999999999999</v>
      </c>
      <c r="J29" s="6">
        <v>25776</v>
      </c>
      <c r="K29" s="1">
        <v>5.0000000000000001E-3</v>
      </c>
      <c r="L29" s="6">
        <v>28</v>
      </c>
    </row>
    <row r="30" spans="1:12" x14ac:dyDescent="0.35">
      <c r="A30" s="6" t="s">
        <v>90</v>
      </c>
      <c r="B30" s="6" t="s">
        <v>273</v>
      </c>
      <c r="C30" s="6" t="s">
        <v>210</v>
      </c>
      <c r="D30" s="6">
        <v>21044.100000000002</v>
      </c>
      <c r="E30" s="6">
        <v>21044.100000000002</v>
      </c>
      <c r="F30" s="6">
        <v>701.47</v>
      </c>
      <c r="G30" s="6" t="s">
        <v>22</v>
      </c>
      <c r="H30" s="1">
        <v>-0.12300000000000001</v>
      </c>
      <c r="I30" s="6">
        <v>-0.57600000000000007</v>
      </c>
      <c r="J30" s="6">
        <v>23826</v>
      </c>
      <c r="K30" s="1">
        <v>5.0000000000000001E-3</v>
      </c>
      <c r="L30" s="6">
        <v>29</v>
      </c>
    </row>
    <row r="31" spans="1:12" x14ac:dyDescent="0.35">
      <c r="A31" s="6" t="s">
        <v>28</v>
      </c>
      <c r="B31" s="6" t="s">
        <v>272</v>
      </c>
      <c r="C31" s="6" t="s">
        <v>271</v>
      </c>
      <c r="D31" s="6">
        <v>48419.55</v>
      </c>
      <c r="E31" s="6">
        <v>48661.65</v>
      </c>
      <c r="F31" s="6">
        <v>868.96</v>
      </c>
      <c r="G31" s="1">
        <v>5.0000000000000001E-3</v>
      </c>
      <c r="H31" s="1">
        <v>1.028</v>
      </c>
      <c r="I31" s="6">
        <v>-2.1000000000000001E-2</v>
      </c>
      <c r="J31" s="6">
        <v>23355</v>
      </c>
      <c r="K31" s="1">
        <v>4.0000000000000001E-3</v>
      </c>
      <c r="L31" s="6">
        <v>30</v>
      </c>
    </row>
    <row r="32" spans="1:12" x14ac:dyDescent="0.35">
      <c r="A32" s="6" t="s">
        <v>23</v>
      </c>
      <c r="B32" s="6" t="s">
        <v>270</v>
      </c>
      <c r="C32" s="6" t="s">
        <v>269</v>
      </c>
      <c r="D32" s="6">
        <v>42383.39</v>
      </c>
      <c r="E32" s="6">
        <v>44036.340000000004</v>
      </c>
      <c r="F32" s="6">
        <v>786.36</v>
      </c>
      <c r="G32" s="1">
        <v>3.9E-2</v>
      </c>
      <c r="H32" s="1">
        <v>0.83499999999999996</v>
      </c>
      <c r="I32" s="6">
        <v>-0.114</v>
      </c>
      <c r="J32" s="6">
        <v>22845</v>
      </c>
      <c r="K32" s="1">
        <v>4.0000000000000001E-3</v>
      </c>
      <c r="L32" s="6">
        <v>31</v>
      </c>
    </row>
    <row r="33" spans="1:12" x14ac:dyDescent="0.35">
      <c r="A33" s="6" t="s">
        <v>75</v>
      </c>
      <c r="B33" s="6" t="s">
        <v>268</v>
      </c>
      <c r="C33" s="6" t="s">
        <v>18</v>
      </c>
      <c r="D33" s="6">
        <v>22841.31</v>
      </c>
      <c r="E33" s="6">
        <v>23526.55</v>
      </c>
      <c r="F33" s="6">
        <v>784.22</v>
      </c>
      <c r="G33" s="1">
        <v>0.03</v>
      </c>
      <c r="H33" s="1">
        <v>-0.02</v>
      </c>
      <c r="I33" s="6">
        <v>-0.52600000000000002</v>
      </c>
      <c r="J33" s="6">
        <v>20457</v>
      </c>
      <c r="K33" s="1">
        <v>4.0000000000000001E-3</v>
      </c>
      <c r="L33" s="6">
        <v>32</v>
      </c>
    </row>
    <row r="34" spans="1:12" x14ac:dyDescent="0.35">
      <c r="A34" s="6" t="s">
        <v>31</v>
      </c>
      <c r="B34" s="6" t="s">
        <v>267</v>
      </c>
      <c r="C34" s="6" t="s">
        <v>257</v>
      </c>
      <c r="D34" s="6">
        <v>46334.29</v>
      </c>
      <c r="E34" s="6">
        <v>46334.29</v>
      </c>
      <c r="F34" s="6">
        <v>772.24</v>
      </c>
      <c r="G34" s="6" t="s">
        <v>22</v>
      </c>
      <c r="H34" s="1">
        <v>0.93099999999999994</v>
      </c>
      <c r="I34" s="6">
        <v>-6.7000000000000004E-2</v>
      </c>
      <c r="J34" s="6">
        <v>19700</v>
      </c>
      <c r="K34" s="1">
        <v>4.0000000000000001E-3</v>
      </c>
      <c r="L34" s="6">
        <v>33</v>
      </c>
    </row>
    <row r="35" spans="1:12" x14ac:dyDescent="0.35">
      <c r="A35" s="6" t="s">
        <v>72</v>
      </c>
      <c r="B35" s="6" t="s">
        <v>258</v>
      </c>
      <c r="C35" s="6" t="s">
        <v>210</v>
      </c>
      <c r="D35" s="6">
        <v>19958.79</v>
      </c>
      <c r="E35" s="6">
        <v>20550</v>
      </c>
      <c r="F35" s="6">
        <v>685</v>
      </c>
      <c r="G35" s="1">
        <v>0.03</v>
      </c>
      <c r="H35" s="1">
        <v>-0.14400000000000002</v>
      </c>
      <c r="I35" s="6">
        <v>-0.58599999999999997</v>
      </c>
      <c r="J35" s="6">
        <v>18312</v>
      </c>
      <c r="K35" s="1">
        <v>3.0000000000000001E-3</v>
      </c>
      <c r="L35" s="6">
        <v>34</v>
      </c>
    </row>
    <row r="36" spans="1:12" x14ac:dyDescent="0.35">
      <c r="A36" s="6" t="s">
        <v>43</v>
      </c>
      <c r="B36" s="6" t="s">
        <v>266</v>
      </c>
      <c r="C36" s="6" t="s">
        <v>257</v>
      </c>
      <c r="D36" s="6">
        <v>53038.1</v>
      </c>
      <c r="E36" s="6">
        <v>53038.1</v>
      </c>
      <c r="F36" s="6">
        <v>883.97</v>
      </c>
      <c r="G36" s="6" t="s">
        <v>22</v>
      </c>
      <c r="H36" s="1">
        <v>1.21</v>
      </c>
      <c r="I36" s="6">
        <v>6.7000000000000004E-2</v>
      </c>
      <c r="J36" s="6">
        <v>9993</v>
      </c>
      <c r="K36" s="1">
        <v>2E-3</v>
      </c>
      <c r="L36" s="6">
        <v>35</v>
      </c>
    </row>
    <row r="37" spans="1:12" x14ac:dyDescent="0.35">
      <c r="A37" s="6" t="s">
        <v>66</v>
      </c>
      <c r="B37" s="6" t="s">
        <v>265</v>
      </c>
      <c r="C37" s="6" t="s">
        <v>14</v>
      </c>
      <c r="D37" s="6">
        <v>19420.54</v>
      </c>
      <c r="E37" s="6">
        <v>19420.54</v>
      </c>
      <c r="F37" s="6">
        <v>693.59</v>
      </c>
      <c r="G37" s="6" t="s">
        <v>22</v>
      </c>
      <c r="H37" s="1">
        <v>-0.191</v>
      </c>
      <c r="I37" s="6">
        <v>-0.60899999999999999</v>
      </c>
      <c r="J37" s="6">
        <v>9516</v>
      </c>
      <c r="K37" s="1">
        <v>2E-3</v>
      </c>
      <c r="L37" s="6">
        <v>36</v>
      </c>
    </row>
    <row r="38" spans="1:12" x14ac:dyDescent="0.35">
      <c r="A38" s="6" t="s">
        <v>264</v>
      </c>
      <c r="B38" s="6" t="s">
        <v>263</v>
      </c>
      <c r="C38" s="6" t="s">
        <v>137</v>
      </c>
      <c r="D38" s="6" t="s">
        <v>22</v>
      </c>
      <c r="E38" s="6" t="s">
        <v>22</v>
      </c>
      <c r="F38" s="6" t="s">
        <v>22</v>
      </c>
      <c r="G38" s="6" t="s">
        <v>22</v>
      </c>
      <c r="H38" s="6" t="s">
        <v>22</v>
      </c>
      <c r="I38" s="6" t="s">
        <v>22</v>
      </c>
      <c r="J38" s="6">
        <v>7530</v>
      </c>
      <c r="K38" s="1">
        <v>1E-3</v>
      </c>
      <c r="L38" s="6">
        <v>37</v>
      </c>
    </row>
    <row r="39" spans="1:12" x14ac:dyDescent="0.35">
      <c r="A39" s="6" t="s">
        <v>202</v>
      </c>
      <c r="B39" s="6" t="s">
        <v>262</v>
      </c>
      <c r="C39" s="6" t="s">
        <v>210</v>
      </c>
      <c r="D39" s="6">
        <v>24643.32</v>
      </c>
      <c r="E39" s="6">
        <v>25382.62</v>
      </c>
      <c r="F39" s="6">
        <v>846.09</v>
      </c>
      <c r="G39" s="1">
        <v>0.03</v>
      </c>
      <c r="H39" s="1">
        <v>5.7999999999999996E-2</v>
      </c>
      <c r="I39" s="6">
        <v>-0.48899999999999999</v>
      </c>
      <c r="J39" s="6">
        <v>5162</v>
      </c>
      <c r="K39" s="1">
        <v>1E-3</v>
      </c>
      <c r="L39" s="6">
        <v>38</v>
      </c>
    </row>
    <row r="40" spans="1:12" x14ac:dyDescent="0.35">
      <c r="A40" s="6" t="s">
        <v>78</v>
      </c>
      <c r="B40" s="6" t="s">
        <v>261</v>
      </c>
      <c r="C40" s="6" t="s">
        <v>18</v>
      </c>
      <c r="D40" s="6">
        <v>24630.86</v>
      </c>
      <c r="E40" s="6">
        <v>25616.09</v>
      </c>
      <c r="F40" s="6">
        <v>853.87</v>
      </c>
      <c r="G40" s="1">
        <v>0.04</v>
      </c>
      <c r="H40" s="1">
        <v>6.7000000000000004E-2</v>
      </c>
      <c r="I40" s="6">
        <v>-0.48399999999999999</v>
      </c>
      <c r="J40" s="6">
        <v>4478</v>
      </c>
      <c r="K40" s="1">
        <v>1E-3</v>
      </c>
      <c r="L40" s="6">
        <v>39</v>
      </c>
    </row>
    <row r="41" spans="1:12" x14ac:dyDescent="0.35">
      <c r="A41" s="6" t="s">
        <v>25</v>
      </c>
      <c r="B41" s="6" t="s">
        <v>260</v>
      </c>
      <c r="C41" s="6" t="s">
        <v>210</v>
      </c>
      <c r="D41" s="6">
        <v>35982.550000000003</v>
      </c>
      <c r="E41" s="6">
        <v>36990.06</v>
      </c>
      <c r="F41" s="6">
        <v>1233</v>
      </c>
      <c r="G41" s="1">
        <v>2.7999999999999997E-2</v>
      </c>
      <c r="H41" s="1">
        <v>0.54100000000000004</v>
      </c>
      <c r="I41" s="6">
        <v>-0.25600000000000001</v>
      </c>
      <c r="J41" s="6">
        <v>3324</v>
      </c>
      <c r="K41" s="1">
        <v>1E-3</v>
      </c>
      <c r="L41" s="6">
        <v>40</v>
      </c>
    </row>
    <row r="42" spans="1:12" x14ac:dyDescent="0.35">
      <c r="A42" s="6" t="s">
        <v>80</v>
      </c>
      <c r="B42" s="6" t="s">
        <v>259</v>
      </c>
      <c r="C42" s="6" t="s">
        <v>18</v>
      </c>
      <c r="D42" s="6">
        <v>21478.12</v>
      </c>
      <c r="E42" s="6">
        <v>22122.46</v>
      </c>
      <c r="F42" s="6">
        <v>737.42</v>
      </c>
      <c r="G42" s="1">
        <v>0.03</v>
      </c>
      <c r="H42" s="1">
        <v>-7.8E-2</v>
      </c>
      <c r="I42" s="6">
        <v>-0.55500000000000005</v>
      </c>
      <c r="J42" s="6">
        <v>1925</v>
      </c>
      <c r="K42" s="6" t="s">
        <v>22</v>
      </c>
      <c r="L42" s="6">
        <v>41</v>
      </c>
    </row>
    <row r="43" spans="1:12" x14ac:dyDescent="0.35">
      <c r="A43" s="6" t="s">
        <v>72</v>
      </c>
      <c r="B43" s="6" t="s">
        <v>258</v>
      </c>
      <c r="C43" s="6" t="s">
        <v>14</v>
      </c>
      <c r="D43" s="6">
        <v>21430.78</v>
      </c>
      <c r="E43" s="6">
        <v>21859.4</v>
      </c>
      <c r="F43" s="6">
        <v>780.69</v>
      </c>
      <c r="G43" s="1">
        <v>0.02</v>
      </c>
      <c r="H43" s="1">
        <v>-8.900000000000001E-2</v>
      </c>
      <c r="I43" s="6">
        <v>-0.56000000000000005</v>
      </c>
      <c r="J43" s="6">
        <v>1672</v>
      </c>
      <c r="K43" s="6" t="s">
        <v>22</v>
      </c>
      <c r="L43" s="6">
        <v>42</v>
      </c>
    </row>
    <row r="44" spans="1:12" x14ac:dyDescent="0.35">
      <c r="A44" s="6" t="s">
        <v>72</v>
      </c>
      <c r="B44" s="6" t="s">
        <v>258</v>
      </c>
      <c r="C44" s="6" t="s">
        <v>257</v>
      </c>
      <c r="D44" s="6">
        <v>41493.629999999997</v>
      </c>
      <c r="E44" s="6">
        <v>42530.97</v>
      </c>
      <c r="F44" s="6">
        <v>708.85</v>
      </c>
      <c r="G44" s="1">
        <v>2.5000000000000001E-2</v>
      </c>
      <c r="H44" s="1">
        <v>0.77200000000000002</v>
      </c>
      <c r="I44" s="6">
        <v>-0.14400000000000002</v>
      </c>
      <c r="J44" s="6">
        <v>1336</v>
      </c>
      <c r="K44" s="6" t="s">
        <v>22</v>
      </c>
      <c r="L44" s="6">
        <v>43</v>
      </c>
    </row>
    <row r="45" spans="1:12" x14ac:dyDescent="0.35">
      <c r="A45" s="6" t="s">
        <v>61</v>
      </c>
      <c r="B45" s="6" t="s">
        <v>256</v>
      </c>
      <c r="C45" s="6" t="s">
        <v>210</v>
      </c>
      <c r="D45" s="6">
        <v>22011.25</v>
      </c>
      <c r="E45" s="6">
        <v>22011.25</v>
      </c>
      <c r="F45" s="6">
        <v>733.71</v>
      </c>
      <c r="G45" s="6" t="s">
        <v>22</v>
      </c>
      <c r="H45" s="1">
        <v>-8.3000000000000004E-2</v>
      </c>
      <c r="I45" s="6">
        <v>-0.55700000000000005</v>
      </c>
      <c r="J45" s="6">
        <v>764</v>
      </c>
      <c r="K45" s="6" t="s">
        <v>22</v>
      </c>
      <c r="L45" s="6">
        <v>44</v>
      </c>
    </row>
    <row r="46" spans="1:12" x14ac:dyDescent="0.35">
      <c r="A46" s="6" t="s">
        <v>108</v>
      </c>
      <c r="B46" s="6" t="s">
        <v>255</v>
      </c>
      <c r="C46" s="6" t="s">
        <v>210</v>
      </c>
      <c r="D46" s="6">
        <v>17106.28</v>
      </c>
      <c r="E46" s="6">
        <v>17106.28</v>
      </c>
      <c r="F46" s="6">
        <v>570.21</v>
      </c>
      <c r="G46" s="6" t="s">
        <v>22</v>
      </c>
      <c r="H46" s="1">
        <v>-0.28699999999999998</v>
      </c>
      <c r="I46" s="6">
        <v>-0.65599999999999992</v>
      </c>
      <c r="J46" s="6">
        <v>78</v>
      </c>
      <c r="K46" s="6" t="s">
        <v>22</v>
      </c>
      <c r="L46" s="6">
        <v>45</v>
      </c>
    </row>
    <row r="47" spans="1:12" x14ac:dyDescent="0.35">
      <c r="A47" s="6" t="s">
        <v>254</v>
      </c>
      <c r="B47" s="6" t="s">
        <v>253</v>
      </c>
      <c r="C47" s="6" t="s">
        <v>14</v>
      </c>
      <c r="D47" s="6">
        <v>16650.39</v>
      </c>
      <c r="E47" s="6">
        <v>16650.39</v>
      </c>
      <c r="F47" s="6">
        <v>594.66</v>
      </c>
      <c r="G47" s="6" t="s">
        <v>22</v>
      </c>
      <c r="H47" s="1">
        <v>-0.30599999999999999</v>
      </c>
      <c r="I47" s="6">
        <v>-0.66500000000000004</v>
      </c>
      <c r="J47" s="6">
        <v>39</v>
      </c>
      <c r="K47" s="6" t="s">
        <v>22</v>
      </c>
      <c r="L47" s="6">
        <v>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04A37-E3D5-481B-A6E4-F5C052E98AA5}">
  <dimension ref="A1:M15"/>
  <sheetViews>
    <sheetView topLeftCell="C1" workbookViewId="0">
      <selection activeCell="M6" sqref="M6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6" t="s">
        <v>208</v>
      </c>
      <c r="B2" s="6" t="s">
        <v>248</v>
      </c>
      <c r="C2" s="6" t="s">
        <v>249</v>
      </c>
      <c r="D2" s="6">
        <v>127904.69</v>
      </c>
      <c r="E2" s="6">
        <v>127904.69</v>
      </c>
      <c r="F2" s="6">
        <v>2131.7399999999998</v>
      </c>
      <c r="G2" s="6" t="s">
        <v>22</v>
      </c>
      <c r="H2" s="1">
        <v>3.3000000000000002E-2</v>
      </c>
      <c r="I2" s="6" t="s">
        <v>15</v>
      </c>
      <c r="J2" s="6">
        <v>24892</v>
      </c>
      <c r="K2" s="1">
        <v>0.19</v>
      </c>
      <c r="L2" s="6">
        <v>1</v>
      </c>
    </row>
    <row r="3" spans="1:13" x14ac:dyDescent="0.35">
      <c r="A3" s="6" t="s">
        <v>25</v>
      </c>
      <c r="B3" s="6" t="s">
        <v>247</v>
      </c>
      <c r="C3" s="6" t="s">
        <v>249</v>
      </c>
      <c r="D3" s="6">
        <v>134852.89000000001</v>
      </c>
      <c r="E3" s="6">
        <v>138628.76999999999</v>
      </c>
      <c r="F3" s="6">
        <v>2310.48</v>
      </c>
      <c r="G3" s="1">
        <v>2.7999999999999997E-2</v>
      </c>
      <c r="H3" s="1">
        <v>0.12</v>
      </c>
      <c r="I3" s="6">
        <v>8.4000000000000005E-2</v>
      </c>
      <c r="J3" s="6">
        <v>20716</v>
      </c>
      <c r="K3" s="1">
        <v>0.158</v>
      </c>
      <c r="L3" s="6">
        <v>2</v>
      </c>
    </row>
    <row r="4" spans="1:13" x14ac:dyDescent="0.35">
      <c r="A4" s="9" t="s">
        <v>33</v>
      </c>
      <c r="B4" s="9" t="s">
        <v>244</v>
      </c>
      <c r="C4" s="9" t="s">
        <v>249</v>
      </c>
      <c r="D4" s="9">
        <v>115243</v>
      </c>
      <c r="E4" s="9">
        <v>118401</v>
      </c>
      <c r="F4" s="9">
        <v>1973.35</v>
      </c>
      <c r="G4" s="3">
        <v>2.7000000000000003E-2</v>
      </c>
      <c r="H4" s="3">
        <v>-4.2999999999999997E-2</v>
      </c>
      <c r="I4" s="9">
        <v>-7.400000000000001E-2</v>
      </c>
      <c r="J4" s="9">
        <v>19501</v>
      </c>
      <c r="K4" s="3">
        <v>0.14899999999999999</v>
      </c>
      <c r="L4" s="9">
        <v>3</v>
      </c>
    </row>
    <row r="5" spans="1:13" x14ac:dyDescent="0.35">
      <c r="A5" s="6" t="s">
        <v>246</v>
      </c>
      <c r="B5" s="6" t="s">
        <v>245</v>
      </c>
      <c r="C5" s="6" t="s">
        <v>249</v>
      </c>
      <c r="D5" s="6">
        <v>358963.67</v>
      </c>
      <c r="E5" s="6">
        <v>367937.76</v>
      </c>
      <c r="F5" s="6">
        <v>6132.3</v>
      </c>
      <c r="G5" s="1">
        <v>2.5000000000000001E-2</v>
      </c>
      <c r="H5" s="1">
        <v>1.9730000000000001</v>
      </c>
      <c r="I5" s="6">
        <v>1.8769999999999998</v>
      </c>
      <c r="J5" s="6">
        <v>19473</v>
      </c>
      <c r="K5" s="1">
        <v>0.14800000000000002</v>
      </c>
      <c r="L5" s="6">
        <v>4</v>
      </c>
    </row>
    <row r="6" spans="1:13" x14ac:dyDescent="0.35">
      <c r="A6" s="7" t="s">
        <v>39</v>
      </c>
      <c r="B6" s="7" t="s">
        <v>243</v>
      </c>
      <c r="C6" s="7" t="s">
        <v>249</v>
      </c>
      <c r="D6" s="7">
        <v>123772.32</v>
      </c>
      <c r="E6" s="7">
        <v>123772.32</v>
      </c>
      <c r="F6" s="7">
        <v>2062.87</v>
      </c>
      <c r="G6" s="7" t="s">
        <v>22</v>
      </c>
      <c r="H6" s="7" t="s">
        <v>22</v>
      </c>
      <c r="I6" s="7">
        <v>-3.2000000000000001E-2</v>
      </c>
      <c r="J6" s="7">
        <v>14715</v>
      </c>
      <c r="K6" s="5">
        <v>0.11199999999999999</v>
      </c>
      <c r="L6" s="7">
        <v>5</v>
      </c>
      <c r="M6" s="10">
        <f>+F4/F6-1</f>
        <v>-4.3395851410898412E-2</v>
      </c>
    </row>
    <row r="7" spans="1:13" x14ac:dyDescent="0.35">
      <c r="A7" s="6" t="s">
        <v>16</v>
      </c>
      <c r="B7" s="6" t="s">
        <v>242</v>
      </c>
      <c r="C7" s="6" t="s">
        <v>252</v>
      </c>
      <c r="D7" s="6">
        <v>115159.7</v>
      </c>
      <c r="E7" s="6">
        <v>118384.17</v>
      </c>
      <c r="F7" s="6">
        <v>1973.07</v>
      </c>
      <c r="G7" s="1">
        <v>2.7999999999999997E-2</v>
      </c>
      <c r="H7" s="1">
        <v>-4.4000000000000004E-2</v>
      </c>
      <c r="I7" s="6">
        <v>-7.400000000000001E-2</v>
      </c>
      <c r="J7" s="6">
        <v>5597</v>
      </c>
      <c r="K7" s="1">
        <v>4.2999999999999997E-2</v>
      </c>
      <c r="L7" s="6">
        <v>6</v>
      </c>
    </row>
    <row r="8" spans="1:13" x14ac:dyDescent="0.35">
      <c r="A8" s="6" t="s">
        <v>31</v>
      </c>
      <c r="B8" s="6" t="s">
        <v>240</v>
      </c>
      <c r="C8" s="6" t="s">
        <v>251</v>
      </c>
      <c r="D8" s="6">
        <v>118715.05</v>
      </c>
      <c r="E8" s="6">
        <v>118715.05</v>
      </c>
      <c r="F8" s="6">
        <v>1978.58</v>
      </c>
      <c r="G8" s="6" t="s">
        <v>22</v>
      </c>
      <c r="H8" s="1">
        <v>-4.0999999999999995E-2</v>
      </c>
      <c r="I8" s="6">
        <v>-7.2000000000000008E-2</v>
      </c>
      <c r="J8" s="6">
        <v>5317</v>
      </c>
      <c r="K8" s="1">
        <v>4.0999999999999995E-2</v>
      </c>
      <c r="L8" s="6">
        <v>7</v>
      </c>
    </row>
    <row r="9" spans="1:13" x14ac:dyDescent="0.35">
      <c r="A9" s="6" t="s">
        <v>28</v>
      </c>
      <c r="B9" s="6" t="s">
        <v>238</v>
      </c>
      <c r="C9" s="6" t="s">
        <v>249</v>
      </c>
      <c r="D9" s="6">
        <v>121365.88</v>
      </c>
      <c r="E9" s="6">
        <v>124357.54000000001</v>
      </c>
      <c r="F9" s="6">
        <v>2072.63</v>
      </c>
      <c r="G9" s="1">
        <v>2.5000000000000001E-2</v>
      </c>
      <c r="H9" s="1">
        <v>5.0000000000000001E-3</v>
      </c>
      <c r="I9" s="6">
        <v>-2.7999999999999997E-2</v>
      </c>
      <c r="J9" s="6">
        <v>4697</v>
      </c>
      <c r="K9" s="1">
        <v>3.6000000000000004E-2</v>
      </c>
      <c r="L9" s="6">
        <v>8</v>
      </c>
    </row>
    <row r="10" spans="1:13" x14ac:dyDescent="0.35">
      <c r="A10" s="6" t="s">
        <v>43</v>
      </c>
      <c r="B10" s="6" t="s">
        <v>237</v>
      </c>
      <c r="C10" s="6" t="s">
        <v>249</v>
      </c>
      <c r="D10" s="6">
        <v>113479.69</v>
      </c>
      <c r="E10" s="6">
        <v>113479.69</v>
      </c>
      <c r="F10" s="6">
        <v>1891.33</v>
      </c>
      <c r="G10" s="6" t="s">
        <v>22</v>
      </c>
      <c r="H10" s="1">
        <v>-8.3000000000000004E-2</v>
      </c>
      <c r="I10" s="6">
        <v>-0.113</v>
      </c>
      <c r="J10" s="6">
        <v>4179</v>
      </c>
      <c r="K10" s="1">
        <v>3.2000000000000001E-2</v>
      </c>
      <c r="L10" s="6">
        <v>9</v>
      </c>
    </row>
    <row r="11" spans="1:13" x14ac:dyDescent="0.35">
      <c r="A11" s="6" t="s">
        <v>235</v>
      </c>
      <c r="B11" s="6" t="s">
        <v>234</v>
      </c>
      <c r="C11" s="6" t="s">
        <v>250</v>
      </c>
      <c r="D11" s="6">
        <v>74719.31</v>
      </c>
      <c r="E11" s="6">
        <v>76886.17</v>
      </c>
      <c r="F11" s="6">
        <v>2562.87</v>
      </c>
      <c r="G11" s="1">
        <v>2.8999999999999998E-2</v>
      </c>
      <c r="H11" s="1">
        <v>-0.379</v>
      </c>
      <c r="I11" s="6">
        <v>-0.39899999999999997</v>
      </c>
      <c r="J11" s="6">
        <v>3387</v>
      </c>
      <c r="K11" s="1">
        <v>2.6000000000000002E-2</v>
      </c>
      <c r="L11" s="6">
        <v>10</v>
      </c>
    </row>
    <row r="12" spans="1:13" x14ac:dyDescent="0.35">
      <c r="A12" s="6" t="s">
        <v>23</v>
      </c>
      <c r="B12" s="6" t="s">
        <v>236</v>
      </c>
      <c r="C12" s="6" t="s">
        <v>249</v>
      </c>
      <c r="D12" s="6">
        <v>115247.65000000001</v>
      </c>
      <c r="E12" s="6">
        <v>118416.96000000001</v>
      </c>
      <c r="F12" s="6">
        <v>1973.62</v>
      </c>
      <c r="G12" s="1">
        <v>2.7000000000000003E-2</v>
      </c>
      <c r="H12" s="1">
        <v>-4.2999999999999997E-2</v>
      </c>
      <c r="I12" s="6">
        <v>-7.400000000000001E-2</v>
      </c>
      <c r="J12" s="6">
        <v>2836</v>
      </c>
      <c r="K12" s="1">
        <v>2.2000000000000002E-2</v>
      </c>
      <c r="L12" s="6">
        <v>11</v>
      </c>
    </row>
    <row r="13" spans="1:13" x14ac:dyDescent="0.35">
      <c r="A13" s="6" t="s">
        <v>235</v>
      </c>
      <c r="B13" s="6" t="s">
        <v>234</v>
      </c>
      <c r="C13" s="6" t="s">
        <v>249</v>
      </c>
      <c r="D13" s="6">
        <v>150896.55000000002</v>
      </c>
      <c r="E13" s="6">
        <v>155272.55000000002</v>
      </c>
      <c r="F13" s="6">
        <v>2587.88</v>
      </c>
      <c r="G13" s="1">
        <v>2.8999999999999998E-2</v>
      </c>
      <c r="H13" s="1">
        <v>0.255</v>
      </c>
      <c r="I13" s="6">
        <v>0.214</v>
      </c>
      <c r="J13" s="6">
        <v>2564</v>
      </c>
      <c r="K13" s="1">
        <v>0.02</v>
      </c>
      <c r="L13" s="6">
        <v>12</v>
      </c>
    </row>
    <row r="14" spans="1:13" x14ac:dyDescent="0.35">
      <c r="A14" s="6" t="s">
        <v>202</v>
      </c>
      <c r="B14" s="6" t="s">
        <v>233</v>
      </c>
      <c r="C14" s="6" t="s">
        <v>249</v>
      </c>
      <c r="D14" s="6">
        <v>120415.81</v>
      </c>
      <c r="E14" s="6">
        <v>124028.28</v>
      </c>
      <c r="F14" s="6">
        <v>2067.14</v>
      </c>
      <c r="G14" s="1">
        <v>0.03</v>
      </c>
      <c r="H14" s="1">
        <v>2E-3</v>
      </c>
      <c r="I14" s="6">
        <v>-0.03</v>
      </c>
      <c r="J14" s="6">
        <v>1762</v>
      </c>
      <c r="K14" s="1">
        <v>1.3000000000000001E-2</v>
      </c>
      <c r="L14" s="6">
        <v>13</v>
      </c>
    </row>
    <row r="15" spans="1:13" x14ac:dyDescent="0.35">
      <c r="A15" s="6" t="s">
        <v>165</v>
      </c>
      <c r="B15" s="6" t="s">
        <v>232</v>
      </c>
      <c r="C15" s="6" t="s">
        <v>249</v>
      </c>
      <c r="D15" s="6">
        <v>124248.02</v>
      </c>
      <c r="E15" s="6">
        <v>127904.68000000001</v>
      </c>
      <c r="F15" s="6">
        <v>2131.7399999999998</v>
      </c>
      <c r="G15" s="1">
        <v>2.8999999999999998E-2</v>
      </c>
      <c r="H15" s="1">
        <v>3.3000000000000002E-2</v>
      </c>
      <c r="I15" s="6">
        <v>0</v>
      </c>
      <c r="J15" s="6">
        <v>1498</v>
      </c>
      <c r="K15" s="1">
        <v>1.1000000000000001E-2</v>
      </c>
      <c r="L15" s="6">
        <v>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1DE9-243D-4C14-B50D-5BF9706D66C6}">
  <dimension ref="A1:M15"/>
  <sheetViews>
    <sheetView topLeftCell="B1" workbookViewId="0">
      <selection activeCell="M6" sqref="M6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6" t="s">
        <v>208</v>
      </c>
      <c r="B2" s="6" t="s">
        <v>248</v>
      </c>
      <c r="C2" s="6" t="s">
        <v>231</v>
      </c>
      <c r="D2" s="6">
        <v>127904.69</v>
      </c>
      <c r="E2" s="6">
        <v>127904.69</v>
      </c>
      <c r="F2" s="6">
        <v>2131.7399999999998</v>
      </c>
      <c r="G2" s="6" t="s">
        <v>22</v>
      </c>
      <c r="H2" s="1">
        <v>6.4000000000000001E-2</v>
      </c>
      <c r="I2" s="6" t="s">
        <v>15</v>
      </c>
      <c r="J2" s="6">
        <v>12536</v>
      </c>
      <c r="K2" s="1">
        <v>0.18</v>
      </c>
      <c r="L2" s="6">
        <v>1</v>
      </c>
    </row>
    <row r="3" spans="1:13" x14ac:dyDescent="0.35">
      <c r="A3" s="6" t="s">
        <v>25</v>
      </c>
      <c r="B3" s="6" t="s">
        <v>247</v>
      </c>
      <c r="C3" s="6" t="s">
        <v>231</v>
      </c>
      <c r="D3" s="6">
        <v>133668.81</v>
      </c>
      <c r="E3" s="6">
        <v>137411.54</v>
      </c>
      <c r="F3" s="6">
        <v>2290.19</v>
      </c>
      <c r="G3" s="1">
        <v>2.7999999999999997E-2</v>
      </c>
      <c r="H3" s="1">
        <v>0.14400000000000002</v>
      </c>
      <c r="I3" s="6">
        <v>7.400000000000001E-2</v>
      </c>
      <c r="J3" s="6">
        <v>11466</v>
      </c>
      <c r="K3" s="1">
        <v>0.16500000000000001</v>
      </c>
      <c r="L3" s="6">
        <v>2</v>
      </c>
    </row>
    <row r="4" spans="1:13" x14ac:dyDescent="0.35">
      <c r="A4" s="6" t="s">
        <v>246</v>
      </c>
      <c r="B4" s="6" t="s">
        <v>245</v>
      </c>
      <c r="C4" s="6" t="s">
        <v>231</v>
      </c>
      <c r="D4" s="6">
        <v>358963.67</v>
      </c>
      <c r="E4" s="6">
        <v>367937.76</v>
      </c>
      <c r="F4" s="6">
        <v>6132.3</v>
      </c>
      <c r="G4" s="1">
        <v>2.5000000000000001E-2</v>
      </c>
      <c r="H4" s="1">
        <v>2.0619999999999998</v>
      </c>
      <c r="I4" s="6">
        <v>1.8769999999999998</v>
      </c>
      <c r="J4" s="6">
        <v>10378</v>
      </c>
      <c r="K4" s="1">
        <v>0.14899999999999999</v>
      </c>
      <c r="L4" s="6">
        <v>3</v>
      </c>
    </row>
    <row r="5" spans="1:13" x14ac:dyDescent="0.35">
      <c r="A5" s="9" t="s">
        <v>33</v>
      </c>
      <c r="B5" s="9" t="s">
        <v>244</v>
      </c>
      <c r="C5" s="9" t="s">
        <v>231</v>
      </c>
      <c r="D5" s="9">
        <v>115243</v>
      </c>
      <c r="E5" s="9">
        <v>118401</v>
      </c>
      <c r="F5" s="9">
        <v>1973.35</v>
      </c>
      <c r="G5" s="3">
        <v>2.7000000000000003E-2</v>
      </c>
      <c r="H5" s="3">
        <v>-1.4999999999999999E-2</v>
      </c>
      <c r="I5" s="9">
        <v>-7.400000000000001E-2</v>
      </c>
      <c r="J5" s="9">
        <v>9270</v>
      </c>
      <c r="K5" s="3">
        <v>0.13300000000000001</v>
      </c>
      <c r="L5" s="9">
        <v>4</v>
      </c>
    </row>
    <row r="6" spans="1:13" x14ac:dyDescent="0.35">
      <c r="A6" s="7" t="s">
        <v>39</v>
      </c>
      <c r="B6" s="7" t="s">
        <v>243</v>
      </c>
      <c r="C6" s="7" t="s">
        <v>231</v>
      </c>
      <c r="D6" s="7">
        <v>120167.3</v>
      </c>
      <c r="E6" s="7">
        <v>120167.3</v>
      </c>
      <c r="F6" s="7">
        <v>2002.79</v>
      </c>
      <c r="G6" s="7" t="s">
        <v>22</v>
      </c>
      <c r="H6" s="7" t="s">
        <v>22</v>
      </c>
      <c r="I6" s="7">
        <v>-0.06</v>
      </c>
      <c r="J6" s="7">
        <v>7450</v>
      </c>
      <c r="K6" s="5">
        <v>0.107</v>
      </c>
      <c r="L6" s="7">
        <v>5</v>
      </c>
      <c r="M6" s="10">
        <f>+F5/F6-1</f>
        <v>-1.4699494205583252E-2</v>
      </c>
    </row>
    <row r="7" spans="1:13" x14ac:dyDescent="0.35">
      <c r="A7" s="6" t="s">
        <v>16</v>
      </c>
      <c r="B7" s="6" t="s">
        <v>242</v>
      </c>
      <c r="C7" s="6" t="s">
        <v>241</v>
      </c>
      <c r="D7" s="6">
        <v>113562.69</v>
      </c>
      <c r="E7" s="6">
        <v>116856.01000000001</v>
      </c>
      <c r="F7" s="6">
        <v>1947.6</v>
      </c>
      <c r="G7" s="1">
        <v>2.8999999999999998E-2</v>
      </c>
      <c r="H7" s="1">
        <v>-2.7999999999999997E-2</v>
      </c>
      <c r="I7" s="6">
        <v>-8.5999999999999993E-2</v>
      </c>
      <c r="J7" s="6">
        <v>3365</v>
      </c>
      <c r="K7" s="1">
        <v>4.8000000000000001E-2</v>
      </c>
      <c r="L7" s="6">
        <v>6</v>
      </c>
    </row>
    <row r="8" spans="1:13" x14ac:dyDescent="0.35">
      <c r="A8" s="6" t="s">
        <v>31</v>
      </c>
      <c r="B8" s="6" t="s">
        <v>240</v>
      </c>
      <c r="C8" s="6" t="s">
        <v>231</v>
      </c>
      <c r="D8" s="6">
        <v>118715.05</v>
      </c>
      <c r="E8" s="6">
        <v>118715.05</v>
      </c>
      <c r="F8" s="6">
        <v>1978.58</v>
      </c>
      <c r="G8" s="6" t="s">
        <v>22</v>
      </c>
      <c r="H8" s="1">
        <v>-1.2E-2</v>
      </c>
      <c r="I8" s="6">
        <v>-7.2000000000000008E-2</v>
      </c>
      <c r="J8" s="6">
        <v>2876</v>
      </c>
      <c r="K8" s="1">
        <v>4.0999999999999995E-2</v>
      </c>
      <c r="L8" s="6">
        <v>7</v>
      </c>
    </row>
    <row r="9" spans="1:13" x14ac:dyDescent="0.35">
      <c r="A9" s="6" t="s">
        <v>235</v>
      </c>
      <c r="B9" s="6" t="s">
        <v>234</v>
      </c>
      <c r="C9" s="6" t="s">
        <v>239</v>
      </c>
      <c r="D9" s="6">
        <v>74719.31</v>
      </c>
      <c r="E9" s="6">
        <v>76886.17</v>
      </c>
      <c r="F9" s="6">
        <v>2562.87</v>
      </c>
      <c r="G9" s="1">
        <v>2.8999999999999998E-2</v>
      </c>
      <c r="H9" s="1">
        <v>-0.36</v>
      </c>
      <c r="I9" s="6">
        <v>-0.39899999999999997</v>
      </c>
      <c r="J9" s="6">
        <v>2454</v>
      </c>
      <c r="K9" s="1">
        <v>3.5000000000000003E-2</v>
      </c>
      <c r="L9" s="6">
        <v>8</v>
      </c>
    </row>
    <row r="10" spans="1:13" x14ac:dyDescent="0.35">
      <c r="A10" s="6" t="s">
        <v>28</v>
      </c>
      <c r="B10" s="6" t="s">
        <v>238</v>
      </c>
      <c r="C10" s="6" t="s">
        <v>231</v>
      </c>
      <c r="D10" s="6">
        <v>120889.93000000001</v>
      </c>
      <c r="E10" s="6">
        <v>123869.87</v>
      </c>
      <c r="F10" s="6">
        <v>2064.5</v>
      </c>
      <c r="G10" s="1">
        <v>2.5000000000000001E-2</v>
      </c>
      <c r="H10" s="1">
        <v>3.1E-2</v>
      </c>
      <c r="I10" s="6">
        <v>-3.2000000000000001E-2</v>
      </c>
      <c r="J10" s="6">
        <v>2287</v>
      </c>
      <c r="K10" s="1">
        <v>3.3000000000000002E-2</v>
      </c>
      <c r="L10" s="6">
        <v>9</v>
      </c>
    </row>
    <row r="11" spans="1:13" x14ac:dyDescent="0.35">
      <c r="A11" s="6" t="s">
        <v>43</v>
      </c>
      <c r="B11" s="6" t="s">
        <v>237</v>
      </c>
      <c r="C11" s="6" t="s">
        <v>231</v>
      </c>
      <c r="D11" s="6">
        <v>113479.69</v>
      </c>
      <c r="E11" s="6">
        <v>113479.69</v>
      </c>
      <c r="F11" s="6">
        <v>1891.33</v>
      </c>
      <c r="G11" s="6" t="s">
        <v>22</v>
      </c>
      <c r="H11" s="1">
        <v>-5.5999999999999994E-2</v>
      </c>
      <c r="I11" s="6">
        <v>-0.113</v>
      </c>
      <c r="J11" s="6">
        <v>2023</v>
      </c>
      <c r="K11" s="1">
        <v>2.8999999999999998E-2</v>
      </c>
      <c r="L11" s="6">
        <v>10</v>
      </c>
    </row>
    <row r="12" spans="1:13" x14ac:dyDescent="0.35">
      <c r="A12" s="6" t="s">
        <v>23</v>
      </c>
      <c r="B12" s="6" t="s">
        <v>236</v>
      </c>
      <c r="C12" s="6" t="s">
        <v>231</v>
      </c>
      <c r="D12" s="6">
        <v>111549.22</v>
      </c>
      <c r="E12" s="6">
        <v>114616.82</v>
      </c>
      <c r="F12" s="6">
        <v>1910.28</v>
      </c>
      <c r="G12" s="1">
        <v>2.7000000000000003E-2</v>
      </c>
      <c r="H12" s="1">
        <v>-4.5999999999999999E-2</v>
      </c>
      <c r="I12" s="6">
        <v>-0.10400000000000001</v>
      </c>
      <c r="J12" s="6">
        <v>1932</v>
      </c>
      <c r="K12" s="1">
        <v>2.7999999999999997E-2</v>
      </c>
      <c r="L12" s="6">
        <v>11</v>
      </c>
    </row>
    <row r="13" spans="1:13" x14ac:dyDescent="0.35">
      <c r="A13" s="6" t="s">
        <v>235</v>
      </c>
      <c r="B13" s="6" t="s">
        <v>234</v>
      </c>
      <c r="C13" s="6" t="s">
        <v>231</v>
      </c>
      <c r="D13" s="6">
        <v>149438.61000000002</v>
      </c>
      <c r="E13" s="6">
        <v>153772.33000000002</v>
      </c>
      <c r="F13" s="6">
        <v>2562.87</v>
      </c>
      <c r="G13" s="1">
        <v>2.8999999999999998E-2</v>
      </c>
      <c r="H13" s="1">
        <v>0.28000000000000003</v>
      </c>
      <c r="I13" s="6">
        <v>0.20199999999999999</v>
      </c>
      <c r="J13" s="6">
        <v>1322</v>
      </c>
      <c r="K13" s="1">
        <v>1.9E-2</v>
      </c>
      <c r="L13" s="6">
        <v>12</v>
      </c>
    </row>
    <row r="14" spans="1:13" x14ac:dyDescent="0.35">
      <c r="A14" s="6" t="s">
        <v>202</v>
      </c>
      <c r="B14" s="6" t="s">
        <v>233</v>
      </c>
      <c r="C14" s="6" t="s">
        <v>231</v>
      </c>
      <c r="D14" s="6">
        <v>120415.81</v>
      </c>
      <c r="E14" s="6">
        <v>124028.28</v>
      </c>
      <c r="F14" s="6">
        <v>2067.14</v>
      </c>
      <c r="G14" s="1">
        <v>0.03</v>
      </c>
      <c r="H14" s="1">
        <v>3.2000000000000001E-2</v>
      </c>
      <c r="I14" s="6">
        <v>-0.03</v>
      </c>
      <c r="J14" s="6">
        <v>1241</v>
      </c>
      <c r="K14" s="1">
        <v>1.8000000000000002E-2</v>
      </c>
      <c r="L14" s="6">
        <v>13</v>
      </c>
    </row>
    <row r="15" spans="1:13" x14ac:dyDescent="0.35">
      <c r="A15" s="6" t="s">
        <v>165</v>
      </c>
      <c r="B15" s="6" t="s">
        <v>232</v>
      </c>
      <c r="C15" s="6" t="s">
        <v>231</v>
      </c>
      <c r="D15" s="6">
        <v>124248.02</v>
      </c>
      <c r="E15" s="6">
        <v>127904.68000000001</v>
      </c>
      <c r="F15" s="6">
        <v>2131.7399999999998</v>
      </c>
      <c r="G15" s="1">
        <v>2.8999999999999998E-2</v>
      </c>
      <c r="H15" s="1">
        <v>6.4000000000000001E-2</v>
      </c>
      <c r="I15" s="6">
        <v>0</v>
      </c>
      <c r="J15" s="6">
        <v>963</v>
      </c>
      <c r="K15" s="1">
        <v>1.3999999999999999E-2</v>
      </c>
      <c r="L15" s="6">
        <v>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978E-EBF5-49A9-AA89-72CE025CF87B}">
  <dimension ref="A1:L7"/>
  <sheetViews>
    <sheetView workbookViewId="0">
      <selection activeCell="D13" sqref="D13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2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35">
      <c r="A2" s="7" t="s">
        <v>227</v>
      </c>
      <c r="B2" s="7" t="s">
        <v>226</v>
      </c>
      <c r="C2" s="7" t="s">
        <v>230</v>
      </c>
      <c r="D2" s="7">
        <v>88309.3</v>
      </c>
      <c r="E2" s="7">
        <v>88309.3</v>
      </c>
      <c r="F2" s="7">
        <v>2943.64</v>
      </c>
      <c r="G2" s="7" t="s">
        <v>22</v>
      </c>
      <c r="H2" s="7" t="s">
        <v>22</v>
      </c>
      <c r="I2" s="7" t="s">
        <v>15</v>
      </c>
      <c r="J2" s="7">
        <v>39667</v>
      </c>
      <c r="K2" s="5">
        <v>0.33200000000000002</v>
      </c>
      <c r="L2" s="7">
        <v>1</v>
      </c>
    </row>
    <row r="3" spans="1:12" x14ac:dyDescent="0.35">
      <c r="A3" s="7" t="s">
        <v>227</v>
      </c>
      <c r="B3" s="7" t="s">
        <v>226</v>
      </c>
      <c r="C3" s="7" t="s">
        <v>228</v>
      </c>
      <c r="D3" s="7">
        <v>176618.7</v>
      </c>
      <c r="E3" s="7">
        <v>176618.7</v>
      </c>
      <c r="F3" s="7">
        <v>2943.64</v>
      </c>
      <c r="G3" s="7" t="s">
        <v>22</v>
      </c>
      <c r="H3" s="7" t="s">
        <v>22</v>
      </c>
      <c r="I3" s="7" t="s">
        <v>15</v>
      </c>
      <c r="J3" s="7">
        <v>26590</v>
      </c>
      <c r="K3" s="5">
        <v>0.222</v>
      </c>
      <c r="L3" s="7">
        <v>2</v>
      </c>
    </row>
    <row r="4" spans="1:12" x14ac:dyDescent="0.35">
      <c r="A4" s="6" t="s">
        <v>25</v>
      </c>
      <c r="B4" s="6" t="s">
        <v>225</v>
      </c>
      <c r="C4" s="6" t="s">
        <v>223</v>
      </c>
      <c r="D4" s="6">
        <v>89683.680000000008</v>
      </c>
      <c r="E4" s="6">
        <v>91028.94</v>
      </c>
      <c r="F4" s="6">
        <v>3034.3</v>
      </c>
      <c r="G4" s="1">
        <v>1.4999999999999999E-2</v>
      </c>
      <c r="H4" s="1">
        <v>3.1E-2</v>
      </c>
      <c r="I4" s="6">
        <v>-0.48499999999999999</v>
      </c>
      <c r="J4" s="6">
        <v>18598</v>
      </c>
      <c r="K4" s="1">
        <v>0.155</v>
      </c>
      <c r="L4" s="6">
        <v>3</v>
      </c>
    </row>
    <row r="5" spans="1:12" x14ac:dyDescent="0.35">
      <c r="A5" s="6" t="s">
        <v>19</v>
      </c>
      <c r="B5" s="6" t="s">
        <v>224</v>
      </c>
      <c r="C5" s="6" t="s">
        <v>223</v>
      </c>
      <c r="D5" s="6">
        <v>89644.61</v>
      </c>
      <c r="E5" s="6">
        <v>89644.61</v>
      </c>
      <c r="F5" s="6">
        <v>2988.15</v>
      </c>
      <c r="G5" s="6" t="s">
        <v>22</v>
      </c>
      <c r="H5" s="1">
        <v>1.4999999999999999E-2</v>
      </c>
      <c r="I5" s="6">
        <v>-0.49200000000000005</v>
      </c>
      <c r="J5" s="6">
        <v>15456</v>
      </c>
      <c r="K5" s="1">
        <v>0.129</v>
      </c>
      <c r="L5" s="6">
        <v>4</v>
      </c>
    </row>
    <row r="6" spans="1:12" x14ac:dyDescent="0.35">
      <c r="A6" s="6" t="s">
        <v>25</v>
      </c>
      <c r="B6" s="6" t="s">
        <v>225</v>
      </c>
      <c r="C6" s="6" t="s">
        <v>229</v>
      </c>
      <c r="D6" s="6">
        <v>202703</v>
      </c>
      <c r="E6" s="6">
        <v>205743.54</v>
      </c>
      <c r="F6" s="6">
        <v>3429.06</v>
      </c>
      <c r="G6" s="1">
        <v>1.4999999999999999E-2</v>
      </c>
      <c r="H6" s="1">
        <v>1.33</v>
      </c>
      <c r="I6" s="6">
        <v>0.16500000000000001</v>
      </c>
      <c r="J6" s="6">
        <v>10126</v>
      </c>
      <c r="K6" s="1">
        <v>8.5000000000000006E-2</v>
      </c>
      <c r="L6" s="6">
        <v>5</v>
      </c>
    </row>
    <row r="7" spans="1:12" x14ac:dyDescent="0.35">
      <c r="A7" s="6" t="s">
        <v>19</v>
      </c>
      <c r="B7" s="6" t="s">
        <v>224</v>
      </c>
      <c r="C7" s="6" t="s">
        <v>228</v>
      </c>
      <c r="D7" s="6">
        <v>181582.55000000002</v>
      </c>
      <c r="E7" s="6">
        <v>181582.55000000002</v>
      </c>
      <c r="F7" s="6">
        <v>3026.38</v>
      </c>
      <c r="G7" s="6" t="s">
        <v>22</v>
      </c>
      <c r="H7" s="1">
        <v>1.056</v>
      </c>
      <c r="I7" s="6">
        <v>2.7999999999999997E-2</v>
      </c>
      <c r="J7" s="6">
        <v>9215</v>
      </c>
      <c r="K7" s="1">
        <v>7.6999999999999999E-2</v>
      </c>
      <c r="L7" s="6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295B4-0D98-408B-A070-DD49E6CC660D}">
  <dimension ref="A1:M4"/>
  <sheetViews>
    <sheetView topLeftCell="C1" workbookViewId="0">
      <selection activeCell="M2" sqref="M2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7" t="s">
        <v>227</v>
      </c>
      <c r="B2" s="7" t="s">
        <v>226</v>
      </c>
      <c r="C2" s="7" t="s">
        <v>223</v>
      </c>
      <c r="D2" s="7">
        <v>88309.3</v>
      </c>
      <c r="E2" s="7">
        <v>88309.3</v>
      </c>
      <c r="F2" s="7">
        <v>2943.64</v>
      </c>
      <c r="G2" s="7" t="s">
        <v>22</v>
      </c>
      <c r="H2" s="7" t="s">
        <v>22</v>
      </c>
      <c r="I2" s="7" t="s">
        <v>15</v>
      </c>
      <c r="J2" s="7">
        <v>130092</v>
      </c>
      <c r="K2" s="5">
        <v>0.61699999999999999</v>
      </c>
      <c r="L2" s="7">
        <v>1</v>
      </c>
      <c r="M2" s="10"/>
    </row>
    <row r="3" spans="1:13" x14ac:dyDescent="0.35">
      <c r="A3" s="6" t="s">
        <v>25</v>
      </c>
      <c r="B3" s="6" t="s">
        <v>225</v>
      </c>
      <c r="C3" s="6" t="s">
        <v>223</v>
      </c>
      <c r="D3" s="6">
        <v>89683.680000000008</v>
      </c>
      <c r="E3" s="6">
        <v>91028.94</v>
      </c>
      <c r="F3" s="6">
        <v>3034.3</v>
      </c>
      <c r="G3" s="1">
        <v>1.4999999999999999E-2</v>
      </c>
      <c r="H3" s="1">
        <v>3.1E-2</v>
      </c>
      <c r="I3" s="6">
        <v>3.1E-2</v>
      </c>
      <c r="J3" s="6">
        <v>44465</v>
      </c>
      <c r="K3" s="1">
        <v>0.21100000000000002</v>
      </c>
      <c r="L3" s="6">
        <v>2</v>
      </c>
    </row>
    <row r="4" spans="1:13" x14ac:dyDescent="0.35">
      <c r="A4" s="6" t="s">
        <v>19</v>
      </c>
      <c r="B4" s="6" t="s">
        <v>224</v>
      </c>
      <c r="C4" s="6" t="s">
        <v>223</v>
      </c>
      <c r="D4" s="6">
        <v>89644.61</v>
      </c>
      <c r="E4" s="6">
        <v>89644.61</v>
      </c>
      <c r="F4" s="6">
        <v>2988.15</v>
      </c>
      <c r="G4" s="6" t="s">
        <v>22</v>
      </c>
      <c r="H4" s="1">
        <v>1.4999999999999999E-2</v>
      </c>
      <c r="I4" s="6">
        <v>1.4999999999999999E-2</v>
      </c>
      <c r="J4" s="6">
        <v>36442</v>
      </c>
      <c r="K4" s="1">
        <v>0.17300000000000001</v>
      </c>
      <c r="L4" s="6">
        <v>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CD947-BE96-4A04-B00D-00429ED12ED0}">
  <dimension ref="A1:M6"/>
  <sheetViews>
    <sheetView topLeftCell="B1" workbookViewId="0">
      <selection activeCell="C11" sqref="C11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6" t="s">
        <v>214</v>
      </c>
      <c r="B2" s="6" t="s">
        <v>222</v>
      </c>
      <c r="C2" s="6" t="s">
        <v>220</v>
      </c>
      <c r="D2" s="6">
        <v>237998.17</v>
      </c>
      <c r="E2" s="6">
        <v>209210.52</v>
      </c>
      <c r="F2" s="6">
        <v>4208.6000000000004</v>
      </c>
      <c r="G2" s="1">
        <v>6.0999999999999999E-2</v>
      </c>
      <c r="H2" s="1">
        <v>1.4980000000000002</v>
      </c>
      <c r="I2" s="6" t="s">
        <v>15</v>
      </c>
      <c r="J2" s="6">
        <v>7481</v>
      </c>
      <c r="K2" s="1">
        <v>0.74199999999999999</v>
      </c>
      <c r="L2" s="6">
        <v>1</v>
      </c>
    </row>
    <row r="3" spans="1:13" x14ac:dyDescent="0.35">
      <c r="A3" s="6" t="s">
        <v>23</v>
      </c>
      <c r="B3" s="6" t="s">
        <v>221</v>
      </c>
      <c r="C3" s="6" t="s">
        <v>220</v>
      </c>
      <c r="D3" s="6">
        <v>93267.33</v>
      </c>
      <c r="E3" s="6">
        <v>91170.01</v>
      </c>
      <c r="F3" s="6">
        <v>1596.43</v>
      </c>
      <c r="G3" s="1">
        <v>2.7000000000000003E-2</v>
      </c>
      <c r="H3" s="1">
        <v>-5.2000000000000005E-2</v>
      </c>
      <c r="I3" s="6">
        <v>-0.621</v>
      </c>
      <c r="J3" s="6">
        <v>838</v>
      </c>
      <c r="K3" s="1">
        <v>8.3000000000000004E-2</v>
      </c>
      <c r="L3" s="6">
        <v>2</v>
      </c>
    </row>
    <row r="4" spans="1:13" x14ac:dyDescent="0.35">
      <c r="A4" s="7" t="s">
        <v>39</v>
      </c>
      <c r="B4" s="7" t="s">
        <v>218</v>
      </c>
      <c r="C4" s="7" t="s">
        <v>220</v>
      </c>
      <c r="D4" s="7"/>
      <c r="E4" s="7">
        <v>101071.86</v>
      </c>
      <c r="F4" s="15">
        <f>+E4/60</f>
        <v>1684.5309999999999</v>
      </c>
      <c r="G4" s="7" t="s">
        <v>22</v>
      </c>
      <c r="H4" s="7" t="s">
        <v>22</v>
      </c>
      <c r="I4" s="7">
        <v>-0.6</v>
      </c>
      <c r="J4" s="7">
        <v>752</v>
      </c>
      <c r="K4" s="5">
        <v>7.4999999999999997E-2</v>
      </c>
      <c r="L4" s="7">
        <v>3</v>
      </c>
    </row>
    <row r="5" spans="1:13" x14ac:dyDescent="0.35">
      <c r="A5" s="9" t="s">
        <v>33</v>
      </c>
      <c r="B5" s="9" t="s">
        <v>219</v>
      </c>
      <c r="C5" s="9" t="s">
        <v>220</v>
      </c>
      <c r="D5" s="9"/>
      <c r="E5" s="9">
        <v>95840</v>
      </c>
      <c r="F5" s="14">
        <f>+E5/60</f>
        <v>1597.3333333333333</v>
      </c>
      <c r="G5" s="3">
        <v>2.7000000000000003E-2</v>
      </c>
      <c r="H5" s="3">
        <v>-5.2000000000000005E-2</v>
      </c>
      <c r="I5" s="9">
        <v>-0.62</v>
      </c>
      <c r="J5" s="9">
        <v>619</v>
      </c>
      <c r="K5" s="3">
        <v>6.0999999999999999E-2</v>
      </c>
      <c r="L5" s="9">
        <v>4</v>
      </c>
      <c r="M5" s="10">
        <f>+F5/F4-1</f>
        <v>-5.1763764909441679E-2</v>
      </c>
    </row>
    <row r="6" spans="1:13" x14ac:dyDescent="0.35">
      <c r="A6" s="6" t="s">
        <v>208</v>
      </c>
      <c r="B6" s="6" t="s">
        <v>217</v>
      </c>
      <c r="C6" s="6" t="s">
        <v>215</v>
      </c>
      <c r="D6" s="6">
        <v>98116.680000000008</v>
      </c>
      <c r="E6" s="6">
        <v>98116.680000000008</v>
      </c>
      <c r="F6" s="6">
        <v>1635.28</v>
      </c>
      <c r="G6" s="6" t="s">
        <v>22</v>
      </c>
      <c r="H6" s="1">
        <v>-2.8999999999999998E-2</v>
      </c>
      <c r="I6" s="6">
        <v>-0.61099999999999999</v>
      </c>
      <c r="J6" s="6">
        <v>392</v>
      </c>
      <c r="K6" s="1">
        <v>3.9E-2</v>
      </c>
      <c r="L6" s="6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A505E-2C67-4A1F-9C30-AC085CC4C5BC}">
  <dimension ref="A1:M6"/>
  <sheetViews>
    <sheetView topLeftCell="B1" workbookViewId="0">
      <selection activeCell="C8" sqref="C8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6" t="s">
        <v>23</v>
      </c>
      <c r="B2" s="6" t="s">
        <v>221</v>
      </c>
      <c r="C2" s="6" t="s">
        <v>215</v>
      </c>
      <c r="D2" s="6">
        <v>93267.33</v>
      </c>
      <c r="E2" s="6">
        <v>95785.540000000008</v>
      </c>
      <c r="F2" s="6">
        <v>1596.43</v>
      </c>
      <c r="G2" s="1">
        <v>2.7000000000000003E-2</v>
      </c>
      <c r="H2" s="1">
        <v>-5.2000000000000005E-2</v>
      </c>
      <c r="I2" s="6" t="s">
        <v>15</v>
      </c>
      <c r="J2" s="6">
        <v>1797</v>
      </c>
      <c r="K2" s="1">
        <v>0.312</v>
      </c>
      <c r="L2" s="6">
        <v>1</v>
      </c>
    </row>
    <row r="3" spans="1:13" x14ac:dyDescent="0.35">
      <c r="A3" s="9" t="s">
        <v>33</v>
      </c>
      <c r="B3" s="9" t="s">
        <v>219</v>
      </c>
      <c r="C3" s="9" t="s">
        <v>215</v>
      </c>
      <c r="D3" s="9">
        <v>93284</v>
      </c>
      <c r="E3" s="9">
        <v>95840</v>
      </c>
      <c r="F3" s="9">
        <v>1597.33</v>
      </c>
      <c r="G3" s="3">
        <v>2.7000000000000003E-2</v>
      </c>
      <c r="H3" s="3">
        <v>-5.2000000000000005E-2</v>
      </c>
      <c r="I3" s="9">
        <v>1E-3</v>
      </c>
      <c r="J3" s="9">
        <v>1639</v>
      </c>
      <c r="K3" s="3">
        <v>0.28399999999999997</v>
      </c>
      <c r="L3" s="9">
        <v>2</v>
      </c>
    </row>
    <row r="4" spans="1:13" x14ac:dyDescent="0.35">
      <c r="A4" s="7" t="s">
        <v>39</v>
      </c>
      <c r="B4" s="7" t="s">
        <v>218</v>
      </c>
      <c r="C4" s="7" t="s">
        <v>215</v>
      </c>
      <c r="D4" s="7">
        <v>101071.86</v>
      </c>
      <c r="E4" s="7">
        <v>101071.86</v>
      </c>
      <c r="F4" s="7">
        <v>1684.53</v>
      </c>
      <c r="G4" s="7" t="s">
        <v>22</v>
      </c>
      <c r="H4" s="7" t="s">
        <v>22</v>
      </c>
      <c r="I4" s="7">
        <v>5.5E-2</v>
      </c>
      <c r="J4" s="7">
        <v>1478</v>
      </c>
      <c r="K4" s="5">
        <v>0.25600000000000001</v>
      </c>
      <c r="L4" s="7">
        <v>3</v>
      </c>
      <c r="M4" s="10">
        <f>+F3/F4-1</f>
        <v>-5.1765180792268439E-2</v>
      </c>
    </row>
    <row r="5" spans="1:13" x14ac:dyDescent="0.35">
      <c r="A5" s="6" t="s">
        <v>208</v>
      </c>
      <c r="B5" s="6" t="s">
        <v>217</v>
      </c>
      <c r="C5" s="6" t="s">
        <v>215</v>
      </c>
      <c r="D5" s="6">
        <v>98116.680000000008</v>
      </c>
      <c r="E5" s="6">
        <v>98116.680000000008</v>
      </c>
      <c r="F5" s="6">
        <v>1635.28</v>
      </c>
      <c r="G5" s="6" t="s">
        <v>22</v>
      </c>
      <c r="H5" s="1">
        <v>-2.8999999999999998E-2</v>
      </c>
      <c r="I5" s="6">
        <v>2.4E-2</v>
      </c>
      <c r="J5" s="6">
        <v>553</v>
      </c>
      <c r="K5" s="1">
        <v>9.6000000000000002E-2</v>
      </c>
      <c r="L5" s="6">
        <v>4</v>
      </c>
    </row>
    <row r="6" spans="1:13" x14ac:dyDescent="0.35">
      <c r="A6" s="6" t="s">
        <v>35</v>
      </c>
      <c r="B6" s="6" t="s">
        <v>216</v>
      </c>
      <c r="C6" s="6" t="s">
        <v>215</v>
      </c>
      <c r="D6" s="6">
        <v>92463.07</v>
      </c>
      <c r="E6" s="6">
        <v>94867.11</v>
      </c>
      <c r="F6" s="6">
        <v>1581.12</v>
      </c>
      <c r="G6" s="1">
        <v>2.6000000000000002E-2</v>
      </c>
      <c r="H6" s="1">
        <v>-6.0999999999999999E-2</v>
      </c>
      <c r="I6" s="6">
        <v>-0.01</v>
      </c>
      <c r="J6" s="6">
        <v>300</v>
      </c>
      <c r="K6" s="1">
        <v>5.2000000000000005E-2</v>
      </c>
      <c r="L6" s="6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307C1-505B-42C5-8953-94727F262B85}">
  <dimension ref="A1:M13"/>
  <sheetViews>
    <sheetView topLeftCell="C1" workbookViewId="0">
      <selection activeCell="M7" sqref="M7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6" t="s">
        <v>214</v>
      </c>
      <c r="B2" s="6" t="s">
        <v>213</v>
      </c>
      <c r="C2" s="6" t="s">
        <v>113</v>
      </c>
      <c r="D2" s="6">
        <v>194064.07</v>
      </c>
      <c r="E2" s="6">
        <v>205901.98</v>
      </c>
      <c r="F2" s="6">
        <v>6863.4</v>
      </c>
      <c r="G2" s="1">
        <v>6.0999999999999999E-2</v>
      </c>
      <c r="H2" s="1">
        <v>1.0680000000000001</v>
      </c>
      <c r="I2" s="6" t="s">
        <v>15</v>
      </c>
      <c r="J2" s="6">
        <v>104730</v>
      </c>
      <c r="K2" s="1">
        <v>0.64200000000000002</v>
      </c>
      <c r="L2" s="6">
        <v>1</v>
      </c>
    </row>
    <row r="3" spans="1:13" x14ac:dyDescent="0.35">
      <c r="A3" s="6" t="s">
        <v>58</v>
      </c>
      <c r="B3" s="6" t="s">
        <v>212</v>
      </c>
      <c r="C3" s="6" t="s">
        <v>113</v>
      </c>
      <c r="D3" s="6">
        <v>129395.01000000001</v>
      </c>
      <c r="E3" s="6">
        <v>133147.47</v>
      </c>
      <c r="F3" s="6">
        <v>4438.25</v>
      </c>
      <c r="G3" s="1">
        <v>2.8999999999999998E-2</v>
      </c>
      <c r="H3" s="1">
        <v>0.33700000000000002</v>
      </c>
      <c r="I3" s="6">
        <v>-0.35299999999999998</v>
      </c>
      <c r="J3" s="6">
        <v>19364</v>
      </c>
      <c r="K3" s="1">
        <v>0.11900000000000001</v>
      </c>
      <c r="L3" s="6">
        <v>2</v>
      </c>
    </row>
    <row r="4" spans="1:13" x14ac:dyDescent="0.35">
      <c r="A4" s="6" t="s">
        <v>23</v>
      </c>
      <c r="B4" s="6" t="s">
        <v>211</v>
      </c>
      <c r="C4" s="6" t="s">
        <v>113</v>
      </c>
      <c r="D4" s="6">
        <v>88141.52</v>
      </c>
      <c r="E4" s="6">
        <v>90785.76</v>
      </c>
      <c r="F4" s="6">
        <v>3026.19</v>
      </c>
      <c r="G4" s="1">
        <v>0.03</v>
      </c>
      <c r="H4" s="1">
        <v>-8.8000000000000009E-2</v>
      </c>
      <c r="I4" s="6">
        <v>-0.55899999999999994</v>
      </c>
      <c r="J4" s="6">
        <v>7523</v>
      </c>
      <c r="K4" s="1">
        <v>4.5999999999999999E-2</v>
      </c>
      <c r="L4" s="6">
        <v>3</v>
      </c>
    </row>
    <row r="5" spans="1:13" x14ac:dyDescent="0.35">
      <c r="A5" s="6" t="s">
        <v>37</v>
      </c>
      <c r="B5" s="6" t="s">
        <v>204</v>
      </c>
      <c r="C5" s="6" t="s">
        <v>111</v>
      </c>
      <c r="D5" s="6">
        <v>94783.680000000008</v>
      </c>
      <c r="E5" s="6">
        <v>97532.41</v>
      </c>
      <c r="F5" s="6">
        <v>3251.08</v>
      </c>
      <c r="G5" s="1">
        <v>2.8999999999999998E-2</v>
      </c>
      <c r="H5" s="1">
        <v>-2.1000000000000001E-2</v>
      </c>
      <c r="I5" s="6">
        <v>-0.52600000000000002</v>
      </c>
      <c r="J5" s="6">
        <v>6144</v>
      </c>
      <c r="K5" s="1">
        <v>3.7999999999999999E-2</v>
      </c>
      <c r="L5" s="6">
        <v>4</v>
      </c>
    </row>
    <row r="6" spans="1:13" x14ac:dyDescent="0.35">
      <c r="A6" s="6" t="s">
        <v>16</v>
      </c>
      <c r="B6" s="6" t="s">
        <v>205</v>
      </c>
      <c r="C6" s="6" t="s">
        <v>111</v>
      </c>
      <c r="D6" s="6">
        <v>88069.71</v>
      </c>
      <c r="E6" s="6">
        <v>90623.74</v>
      </c>
      <c r="F6" s="6">
        <v>3020.79</v>
      </c>
      <c r="G6" s="1">
        <v>2.8999999999999998E-2</v>
      </c>
      <c r="H6" s="1">
        <v>-0.09</v>
      </c>
      <c r="I6" s="6">
        <v>-0.56000000000000005</v>
      </c>
      <c r="J6" s="6">
        <v>5720</v>
      </c>
      <c r="K6" s="1">
        <v>3.5000000000000003E-2</v>
      </c>
      <c r="L6" s="6">
        <v>5</v>
      </c>
    </row>
    <row r="7" spans="1:13" x14ac:dyDescent="0.35">
      <c r="A7" s="7" t="s">
        <v>39</v>
      </c>
      <c r="B7" s="7" t="s">
        <v>209</v>
      </c>
      <c r="C7" s="7" t="s">
        <v>111</v>
      </c>
      <c r="D7" s="7">
        <v>99577.72</v>
      </c>
      <c r="E7" s="7">
        <v>99577.72</v>
      </c>
      <c r="F7" s="7">
        <v>3319.26</v>
      </c>
      <c r="G7" s="7" t="s">
        <v>22</v>
      </c>
      <c r="H7" s="7" t="s">
        <v>22</v>
      </c>
      <c r="I7" s="7">
        <v>-0.51600000000000001</v>
      </c>
      <c r="J7" s="7">
        <v>5481</v>
      </c>
      <c r="K7" s="5">
        <v>3.4000000000000002E-2</v>
      </c>
      <c r="L7" s="7">
        <v>6</v>
      </c>
      <c r="M7" s="10">
        <f>+F9/F7-1</f>
        <v>-8.6853696305803196E-2</v>
      </c>
    </row>
    <row r="8" spans="1:13" x14ac:dyDescent="0.35">
      <c r="A8" s="6" t="s">
        <v>208</v>
      </c>
      <c r="B8" s="6" t="s">
        <v>207</v>
      </c>
      <c r="C8" s="6" t="s">
        <v>111</v>
      </c>
      <c r="D8" s="6">
        <v>93446.040000000008</v>
      </c>
      <c r="E8" s="6">
        <v>93446.040000000008</v>
      </c>
      <c r="F8" s="6">
        <v>3114.87</v>
      </c>
      <c r="G8" s="6" t="s">
        <v>22</v>
      </c>
      <c r="H8" s="1">
        <v>-6.2E-2</v>
      </c>
      <c r="I8" s="6">
        <v>-0.54600000000000004</v>
      </c>
      <c r="J8" s="6">
        <v>5444</v>
      </c>
      <c r="K8" s="1">
        <v>3.3000000000000002E-2</v>
      </c>
      <c r="L8" s="6">
        <v>7</v>
      </c>
    </row>
    <row r="9" spans="1:13" x14ac:dyDescent="0.35">
      <c r="A9" s="9" t="s">
        <v>33</v>
      </c>
      <c r="B9" s="9" t="s">
        <v>206</v>
      </c>
      <c r="C9" s="9" t="s">
        <v>111</v>
      </c>
      <c r="D9" s="9">
        <v>88504</v>
      </c>
      <c r="E9" s="9">
        <v>90929</v>
      </c>
      <c r="F9" s="9">
        <v>3030.97</v>
      </c>
      <c r="G9" s="3">
        <v>2.7000000000000003E-2</v>
      </c>
      <c r="H9" s="3">
        <v>-8.6999999999999994E-2</v>
      </c>
      <c r="I9" s="9">
        <v>-0.55799999999999994</v>
      </c>
      <c r="J9" s="9">
        <v>5279</v>
      </c>
      <c r="K9" s="3">
        <v>3.2000000000000001E-2</v>
      </c>
      <c r="L9" s="9">
        <v>8</v>
      </c>
    </row>
    <row r="10" spans="1:13" x14ac:dyDescent="0.35">
      <c r="A10" s="6" t="s">
        <v>35</v>
      </c>
      <c r="B10" s="6" t="s">
        <v>203</v>
      </c>
      <c r="C10" s="6" t="s">
        <v>111</v>
      </c>
      <c r="D10" s="6">
        <v>88025.89</v>
      </c>
      <c r="E10" s="6">
        <v>89786.41</v>
      </c>
      <c r="F10" s="6">
        <v>2992.88</v>
      </c>
      <c r="G10" s="1">
        <v>0.02</v>
      </c>
      <c r="H10" s="1">
        <v>-9.8000000000000004E-2</v>
      </c>
      <c r="I10" s="6">
        <v>-0.56399999999999995</v>
      </c>
      <c r="J10" s="6">
        <v>1894</v>
      </c>
      <c r="K10" s="1">
        <v>1.2E-2</v>
      </c>
      <c r="L10" s="6">
        <v>9</v>
      </c>
    </row>
    <row r="11" spans="1:13" x14ac:dyDescent="0.35">
      <c r="A11" s="6" t="s">
        <v>202</v>
      </c>
      <c r="B11" s="6" t="s">
        <v>201</v>
      </c>
      <c r="C11" s="6" t="s">
        <v>111</v>
      </c>
      <c r="D11" s="6">
        <v>95064.11</v>
      </c>
      <c r="E11" s="6">
        <v>97916.03</v>
      </c>
      <c r="F11" s="6">
        <v>3263.87</v>
      </c>
      <c r="G11" s="1">
        <v>0.03</v>
      </c>
      <c r="H11" s="1">
        <v>-1.7000000000000001E-2</v>
      </c>
      <c r="I11" s="6">
        <v>-0.52400000000000002</v>
      </c>
      <c r="J11" s="6">
        <v>1585</v>
      </c>
      <c r="K11" s="1">
        <v>0.01</v>
      </c>
      <c r="L11" s="6">
        <v>10</v>
      </c>
    </row>
    <row r="12" spans="1:13" x14ac:dyDescent="0.35">
      <c r="A12" s="6" t="s">
        <v>43</v>
      </c>
      <c r="B12" s="6" t="s">
        <v>200</v>
      </c>
      <c r="C12" s="6" t="s">
        <v>111</v>
      </c>
      <c r="D12" s="6">
        <v>85759.56</v>
      </c>
      <c r="E12" s="6">
        <v>85759.56</v>
      </c>
      <c r="F12" s="6">
        <v>2858.65</v>
      </c>
      <c r="G12" s="6" t="s">
        <v>22</v>
      </c>
      <c r="H12" s="1">
        <v>-0.13900000000000001</v>
      </c>
      <c r="I12" s="6">
        <v>-0.58299999999999996</v>
      </c>
      <c r="J12" s="6">
        <v>27</v>
      </c>
      <c r="K12" s="6" t="s">
        <v>22</v>
      </c>
      <c r="L12" s="6">
        <v>11</v>
      </c>
    </row>
    <row r="13" spans="1:13" x14ac:dyDescent="0.35">
      <c r="A13" s="6" t="s">
        <v>90</v>
      </c>
      <c r="B13" s="6" t="s">
        <v>199</v>
      </c>
      <c r="C13" s="6" t="s">
        <v>113</v>
      </c>
      <c r="D13" s="6">
        <v>79200</v>
      </c>
      <c r="E13" s="6">
        <v>79200</v>
      </c>
      <c r="F13" s="6">
        <v>2640</v>
      </c>
      <c r="G13" s="6" t="s">
        <v>22</v>
      </c>
      <c r="H13" s="1">
        <v>-0.20499999999999999</v>
      </c>
      <c r="I13" s="6">
        <v>-0.61499999999999999</v>
      </c>
      <c r="J13" s="6">
        <v>21</v>
      </c>
      <c r="K13" s="6" t="s">
        <v>22</v>
      </c>
      <c r="L13" s="6">
        <v>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98B0-1183-4956-B12F-1F41380311A8}">
  <dimension ref="A1:M13"/>
  <sheetViews>
    <sheetView topLeftCell="C1" workbookViewId="0">
      <selection activeCell="N5" sqref="N5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6" t="s">
        <v>214</v>
      </c>
      <c r="B2" s="6" t="s">
        <v>213</v>
      </c>
      <c r="C2" s="6" t="s">
        <v>210</v>
      </c>
      <c r="D2" s="6">
        <v>180555.86000000002</v>
      </c>
      <c r="E2" s="6">
        <v>191569.77</v>
      </c>
      <c r="F2" s="6">
        <v>6385.66</v>
      </c>
      <c r="G2" s="1">
        <v>6.0999999999999999E-2</v>
      </c>
      <c r="H2" s="1">
        <v>1.0680000000000001</v>
      </c>
      <c r="I2" s="6" t="s">
        <v>15</v>
      </c>
      <c r="J2" s="6">
        <v>171058</v>
      </c>
      <c r="K2" s="1">
        <v>0.61</v>
      </c>
      <c r="L2" s="6">
        <v>1</v>
      </c>
    </row>
    <row r="3" spans="1:13" x14ac:dyDescent="0.35">
      <c r="A3" s="6" t="s">
        <v>58</v>
      </c>
      <c r="B3" s="6" t="s">
        <v>212</v>
      </c>
      <c r="C3" s="6" t="s">
        <v>210</v>
      </c>
      <c r="D3" s="6">
        <v>120388.61</v>
      </c>
      <c r="E3" s="6">
        <v>123879.88</v>
      </c>
      <c r="F3" s="6">
        <v>4129.33</v>
      </c>
      <c r="G3" s="1">
        <v>2.8999999999999998E-2</v>
      </c>
      <c r="H3" s="1">
        <v>0.33700000000000002</v>
      </c>
      <c r="I3" s="6">
        <v>-0.35299999999999998</v>
      </c>
      <c r="J3" s="6">
        <v>35374</v>
      </c>
      <c r="K3" s="1">
        <v>0.126</v>
      </c>
      <c r="L3" s="6">
        <v>2</v>
      </c>
    </row>
    <row r="4" spans="1:13" x14ac:dyDescent="0.35">
      <c r="A4" s="6" t="s">
        <v>23</v>
      </c>
      <c r="B4" s="6" t="s">
        <v>211</v>
      </c>
      <c r="C4" s="6" t="s">
        <v>210</v>
      </c>
      <c r="D4" s="6">
        <v>82069.259999999995</v>
      </c>
      <c r="E4" s="6">
        <v>84531.34</v>
      </c>
      <c r="F4" s="6">
        <v>2817.71</v>
      </c>
      <c r="G4" s="1">
        <v>0.03</v>
      </c>
      <c r="H4" s="1">
        <v>-8.8000000000000009E-2</v>
      </c>
      <c r="I4" s="6">
        <v>-0.55899999999999994</v>
      </c>
      <c r="J4" s="6">
        <v>12444</v>
      </c>
      <c r="K4" s="1">
        <v>4.4000000000000004E-2</v>
      </c>
      <c r="L4" s="6">
        <v>3</v>
      </c>
    </row>
    <row r="5" spans="1:13" x14ac:dyDescent="0.35">
      <c r="A5" s="7" t="s">
        <v>39</v>
      </c>
      <c r="B5" s="7" t="s">
        <v>209</v>
      </c>
      <c r="C5" s="7" t="s">
        <v>18</v>
      </c>
      <c r="D5" s="7">
        <v>92646.73</v>
      </c>
      <c r="E5" s="7">
        <v>92646.73</v>
      </c>
      <c r="F5" s="7">
        <v>3088.22</v>
      </c>
      <c r="G5" s="7" t="s">
        <v>22</v>
      </c>
      <c r="H5" s="7" t="s">
        <v>22</v>
      </c>
      <c r="I5" s="7">
        <v>-0.51600000000000001</v>
      </c>
      <c r="J5" s="7">
        <v>12262</v>
      </c>
      <c r="K5" s="5">
        <v>4.4000000000000004E-2</v>
      </c>
      <c r="L5" s="7">
        <v>4</v>
      </c>
      <c r="M5" s="10">
        <f>+F7/F5-1</f>
        <v>-8.6852620603454334E-2</v>
      </c>
    </row>
    <row r="6" spans="1:13" x14ac:dyDescent="0.35">
      <c r="A6" s="6" t="s">
        <v>208</v>
      </c>
      <c r="B6" s="6" t="s">
        <v>207</v>
      </c>
      <c r="C6" s="6" t="s">
        <v>18</v>
      </c>
      <c r="D6" s="6">
        <v>86941.83</v>
      </c>
      <c r="E6" s="6">
        <v>86941.83</v>
      </c>
      <c r="F6" s="6">
        <v>2898.06</v>
      </c>
      <c r="G6" s="6" t="s">
        <v>22</v>
      </c>
      <c r="H6" s="1">
        <v>-6.2E-2</v>
      </c>
      <c r="I6" s="6">
        <v>-0.54600000000000004</v>
      </c>
      <c r="J6" s="6">
        <v>11640</v>
      </c>
      <c r="K6" s="1">
        <v>4.2000000000000003E-2</v>
      </c>
      <c r="L6" s="6">
        <v>5</v>
      </c>
    </row>
    <row r="7" spans="1:13" x14ac:dyDescent="0.35">
      <c r="A7" s="9" t="s">
        <v>33</v>
      </c>
      <c r="B7" s="9" t="s">
        <v>206</v>
      </c>
      <c r="C7" s="9" t="s">
        <v>18</v>
      </c>
      <c r="D7" s="9">
        <v>82344</v>
      </c>
      <c r="E7" s="9">
        <v>84600</v>
      </c>
      <c r="F7" s="9">
        <v>2820</v>
      </c>
      <c r="G7" s="3">
        <v>2.7000000000000003E-2</v>
      </c>
      <c r="H7" s="3">
        <v>-8.6999999999999994E-2</v>
      </c>
      <c r="I7" s="9">
        <v>-0.55799999999999994</v>
      </c>
      <c r="J7" s="9">
        <v>11514</v>
      </c>
      <c r="K7" s="3">
        <v>4.0999999999999995E-2</v>
      </c>
      <c r="L7" s="9">
        <v>6</v>
      </c>
    </row>
    <row r="8" spans="1:13" x14ac:dyDescent="0.35">
      <c r="A8" s="6" t="s">
        <v>16</v>
      </c>
      <c r="B8" s="6" t="s">
        <v>205</v>
      </c>
      <c r="C8" s="6" t="s">
        <v>18</v>
      </c>
      <c r="D8" s="6">
        <v>81957.78</v>
      </c>
      <c r="E8" s="6">
        <v>84334.55</v>
      </c>
      <c r="F8" s="6">
        <v>2811.15</v>
      </c>
      <c r="G8" s="1">
        <v>2.8999999999999998E-2</v>
      </c>
      <c r="H8" s="1">
        <v>-0.09</v>
      </c>
      <c r="I8" s="6">
        <v>-0.56000000000000005</v>
      </c>
      <c r="J8" s="6">
        <v>11157</v>
      </c>
      <c r="K8" s="1">
        <v>0.04</v>
      </c>
      <c r="L8" s="6">
        <v>7</v>
      </c>
    </row>
    <row r="9" spans="1:13" x14ac:dyDescent="0.35">
      <c r="A9" s="6" t="s">
        <v>37</v>
      </c>
      <c r="B9" s="6" t="s">
        <v>204</v>
      </c>
      <c r="C9" s="6" t="s">
        <v>18</v>
      </c>
      <c r="D9" s="6">
        <v>87626.69</v>
      </c>
      <c r="E9" s="6">
        <v>90167.87</v>
      </c>
      <c r="F9" s="6">
        <v>3005.6</v>
      </c>
      <c r="G9" s="1">
        <v>2.8999999999999998E-2</v>
      </c>
      <c r="H9" s="1">
        <v>-2.7000000000000003E-2</v>
      </c>
      <c r="I9" s="6">
        <v>-0.52900000000000003</v>
      </c>
      <c r="J9" s="6">
        <v>8129</v>
      </c>
      <c r="K9" s="1">
        <v>2.8999999999999998E-2</v>
      </c>
      <c r="L9" s="6">
        <v>8</v>
      </c>
    </row>
    <row r="10" spans="1:13" x14ac:dyDescent="0.35">
      <c r="A10" s="6" t="s">
        <v>35</v>
      </c>
      <c r="B10" s="6" t="s">
        <v>203</v>
      </c>
      <c r="C10" s="6" t="s">
        <v>18</v>
      </c>
      <c r="D10" s="6">
        <v>82059.180000000008</v>
      </c>
      <c r="E10" s="6">
        <v>83700.36</v>
      </c>
      <c r="F10" s="6">
        <v>2790.01</v>
      </c>
      <c r="G10" s="1">
        <v>0.02</v>
      </c>
      <c r="H10" s="1">
        <v>-9.6999999999999989E-2</v>
      </c>
      <c r="I10" s="6">
        <v>-0.56299999999999994</v>
      </c>
      <c r="J10" s="6">
        <v>4487</v>
      </c>
      <c r="K10" s="1">
        <v>1.6E-2</v>
      </c>
      <c r="L10" s="6">
        <v>9</v>
      </c>
    </row>
    <row r="11" spans="1:13" x14ac:dyDescent="0.35">
      <c r="A11" s="6" t="s">
        <v>202</v>
      </c>
      <c r="B11" s="6" t="s">
        <v>201</v>
      </c>
      <c r="C11" s="6" t="s">
        <v>18</v>
      </c>
      <c r="D11" s="6">
        <v>89472.12</v>
      </c>
      <c r="E11" s="6">
        <v>92156.28</v>
      </c>
      <c r="F11" s="6">
        <v>3071.88</v>
      </c>
      <c r="G11" s="1">
        <v>0.03</v>
      </c>
      <c r="H11" s="1">
        <v>-5.0000000000000001E-3</v>
      </c>
      <c r="I11" s="6">
        <v>-0.51900000000000002</v>
      </c>
      <c r="J11" s="6">
        <v>2181</v>
      </c>
      <c r="K11" s="1">
        <v>8.0000000000000002E-3</v>
      </c>
      <c r="L11" s="6">
        <v>10</v>
      </c>
    </row>
    <row r="12" spans="1:13" x14ac:dyDescent="0.35">
      <c r="A12" s="6" t="s">
        <v>43</v>
      </c>
      <c r="B12" s="6" t="s">
        <v>200</v>
      </c>
      <c r="C12" s="6" t="s">
        <v>18</v>
      </c>
      <c r="D12" s="6">
        <v>79407</v>
      </c>
      <c r="E12" s="6">
        <v>79407</v>
      </c>
      <c r="F12" s="6">
        <v>2646.9</v>
      </c>
      <c r="G12" s="6" t="s">
        <v>22</v>
      </c>
      <c r="H12" s="1">
        <v>-0.14300000000000002</v>
      </c>
      <c r="I12" s="6">
        <v>-0.58499999999999996</v>
      </c>
      <c r="J12" s="6">
        <v>72</v>
      </c>
      <c r="K12" s="6" t="s">
        <v>22</v>
      </c>
      <c r="L12" s="6">
        <v>11</v>
      </c>
    </row>
    <row r="13" spans="1:13" x14ac:dyDescent="0.35">
      <c r="A13" s="6" t="s">
        <v>90</v>
      </c>
      <c r="B13" s="6" t="s">
        <v>199</v>
      </c>
      <c r="C13" s="6" t="s">
        <v>198</v>
      </c>
      <c r="D13" s="6">
        <v>73800</v>
      </c>
      <c r="E13" s="6">
        <v>73800</v>
      </c>
      <c r="F13" s="6">
        <v>2460</v>
      </c>
      <c r="G13" s="6" t="s">
        <v>22</v>
      </c>
      <c r="H13" s="1">
        <v>-0.20300000000000001</v>
      </c>
      <c r="I13" s="6">
        <v>-0.61499999999999999</v>
      </c>
      <c r="J13" s="6">
        <v>25</v>
      </c>
      <c r="K13" s="6" t="s">
        <v>22</v>
      </c>
      <c r="L13" s="6">
        <v>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A1F2B-B86A-4288-BF29-1ABC19A554D7}">
  <dimension ref="A1:M28"/>
  <sheetViews>
    <sheetView topLeftCell="B1" workbookViewId="0">
      <selection activeCell="M7" sqref="M7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9" t="s">
        <v>16</v>
      </c>
      <c r="B2" s="9" t="s">
        <v>160</v>
      </c>
      <c r="C2" s="9" t="s">
        <v>179</v>
      </c>
      <c r="D2" s="9">
        <v>29413.31</v>
      </c>
      <c r="E2" s="9">
        <v>29854.510000000002</v>
      </c>
      <c r="F2" s="9">
        <v>995.15</v>
      </c>
      <c r="G2" s="3">
        <v>1.4999999999999999E-2</v>
      </c>
      <c r="H2" s="3">
        <v>-1.7000000000000001E-2</v>
      </c>
      <c r="I2" s="9" t="s">
        <v>15</v>
      </c>
      <c r="J2" s="9">
        <v>800257</v>
      </c>
      <c r="K2" s="3">
        <v>0.23</v>
      </c>
      <c r="L2" s="9">
        <v>1</v>
      </c>
    </row>
    <row r="3" spans="1:13" x14ac:dyDescent="0.35">
      <c r="A3" s="6" t="s">
        <v>19</v>
      </c>
      <c r="B3" s="6" t="s">
        <v>166</v>
      </c>
      <c r="C3" s="6" t="s">
        <v>184</v>
      </c>
      <c r="D3" s="6">
        <v>30464.400000000001</v>
      </c>
      <c r="E3" s="6">
        <v>30464.400000000001</v>
      </c>
      <c r="F3" s="6">
        <v>1088.01</v>
      </c>
      <c r="G3" s="6" t="s">
        <v>22</v>
      </c>
      <c r="H3" s="1">
        <v>3.0000000000000001E-3</v>
      </c>
      <c r="I3" s="6">
        <v>-0.46</v>
      </c>
      <c r="J3" s="6">
        <v>691719</v>
      </c>
      <c r="K3" s="1">
        <v>0.19899999999999998</v>
      </c>
      <c r="L3" s="6">
        <v>2</v>
      </c>
    </row>
    <row r="4" spans="1:13" x14ac:dyDescent="0.35">
      <c r="A4" s="6" t="s">
        <v>31</v>
      </c>
      <c r="B4" s="6" t="s">
        <v>175</v>
      </c>
      <c r="C4" s="6" t="s">
        <v>179</v>
      </c>
      <c r="D4" s="6">
        <v>29296.5</v>
      </c>
      <c r="E4" s="6">
        <v>29296.5</v>
      </c>
      <c r="F4" s="6">
        <v>976.55</v>
      </c>
      <c r="G4" s="6" t="s">
        <v>22</v>
      </c>
      <c r="H4" s="1">
        <v>-3.6000000000000004E-2</v>
      </c>
      <c r="I4" s="6">
        <v>-0.48100000000000004</v>
      </c>
      <c r="J4" s="6">
        <v>400007</v>
      </c>
      <c r="K4" s="1">
        <v>0.115</v>
      </c>
      <c r="L4" s="6">
        <v>3</v>
      </c>
    </row>
    <row r="5" spans="1:13" x14ac:dyDescent="0.35">
      <c r="A5" s="6" t="s">
        <v>33</v>
      </c>
      <c r="B5" s="6" t="s">
        <v>158</v>
      </c>
      <c r="C5" s="6" t="s">
        <v>179</v>
      </c>
      <c r="D5" s="6">
        <v>27409</v>
      </c>
      <c r="E5" s="6">
        <v>27820</v>
      </c>
      <c r="F5" s="6">
        <v>927.33</v>
      </c>
      <c r="G5" s="1">
        <v>1.4999999999999999E-2</v>
      </c>
      <c r="H5" s="1">
        <v>-8.4000000000000005E-2</v>
      </c>
      <c r="I5" s="6">
        <v>-0.50700000000000001</v>
      </c>
      <c r="J5" s="6">
        <v>347976</v>
      </c>
      <c r="K5" s="1">
        <v>0.1</v>
      </c>
      <c r="L5" s="6">
        <v>4</v>
      </c>
    </row>
    <row r="6" spans="1:13" x14ac:dyDescent="0.35">
      <c r="A6" s="6" t="s">
        <v>23</v>
      </c>
      <c r="B6" s="6" t="s">
        <v>172</v>
      </c>
      <c r="C6" s="6" t="s">
        <v>179</v>
      </c>
      <c r="D6" s="6">
        <v>27206.05</v>
      </c>
      <c r="E6" s="6">
        <v>27831.79</v>
      </c>
      <c r="F6" s="6">
        <v>927.73</v>
      </c>
      <c r="G6" s="1">
        <v>2.3E-2</v>
      </c>
      <c r="H6" s="1">
        <v>-8.4000000000000005E-2</v>
      </c>
      <c r="I6" s="6">
        <v>-0.50700000000000001</v>
      </c>
      <c r="J6" s="6">
        <v>227322</v>
      </c>
      <c r="K6" s="1">
        <v>6.5000000000000002E-2</v>
      </c>
      <c r="L6" s="6">
        <v>5</v>
      </c>
    </row>
    <row r="7" spans="1:13" x14ac:dyDescent="0.35">
      <c r="A7" s="7" t="s">
        <v>39</v>
      </c>
      <c r="B7" s="7" t="s">
        <v>154</v>
      </c>
      <c r="C7" s="7" t="s">
        <v>184</v>
      </c>
      <c r="D7" s="7">
        <v>30375.74</v>
      </c>
      <c r="E7" s="7">
        <v>30375.74</v>
      </c>
      <c r="F7" s="7">
        <v>1084.8499999999999</v>
      </c>
      <c r="G7" s="7" t="s">
        <v>22</v>
      </c>
      <c r="H7" s="7" t="s">
        <v>22</v>
      </c>
      <c r="I7" s="7">
        <v>-0.46200000000000002</v>
      </c>
      <c r="J7" s="7">
        <v>191912</v>
      </c>
      <c r="K7" s="5">
        <v>5.5E-2</v>
      </c>
      <c r="L7" s="7">
        <v>6</v>
      </c>
      <c r="M7" s="10">
        <f>+F2/F7-1</f>
        <v>-8.2684242061114355E-2</v>
      </c>
    </row>
    <row r="8" spans="1:13" x14ac:dyDescent="0.35">
      <c r="A8" s="6" t="s">
        <v>84</v>
      </c>
      <c r="B8" s="6" t="s">
        <v>148</v>
      </c>
      <c r="C8" s="6" t="s">
        <v>179</v>
      </c>
      <c r="D8" s="6">
        <v>28452.74</v>
      </c>
      <c r="E8" s="6">
        <v>28452.74</v>
      </c>
      <c r="F8" s="6">
        <v>948.42</v>
      </c>
      <c r="G8" s="6" t="s">
        <v>22</v>
      </c>
      <c r="H8" s="1">
        <v>-6.3E-2</v>
      </c>
      <c r="I8" s="6">
        <v>-0.496</v>
      </c>
      <c r="J8" s="6">
        <v>154470</v>
      </c>
      <c r="K8" s="1">
        <v>4.4000000000000004E-2</v>
      </c>
      <c r="L8" s="6">
        <v>7</v>
      </c>
    </row>
    <row r="9" spans="1:13" x14ac:dyDescent="0.35">
      <c r="A9" s="6" t="s">
        <v>58</v>
      </c>
      <c r="B9" s="6" t="s">
        <v>174</v>
      </c>
      <c r="C9" s="6" t="s">
        <v>179</v>
      </c>
      <c r="D9" s="6">
        <v>27929.87</v>
      </c>
      <c r="E9" s="6">
        <v>28209.170000000002</v>
      </c>
      <c r="F9" s="6">
        <v>940.31</v>
      </c>
      <c r="G9" s="1">
        <v>0.01</v>
      </c>
      <c r="H9" s="1">
        <v>-7.0999999999999994E-2</v>
      </c>
      <c r="I9" s="6">
        <v>-0.5</v>
      </c>
      <c r="J9" s="6">
        <v>125278</v>
      </c>
      <c r="K9" s="1">
        <v>3.6000000000000004E-2</v>
      </c>
      <c r="L9" s="6">
        <v>8</v>
      </c>
    </row>
    <row r="10" spans="1:13" x14ac:dyDescent="0.35">
      <c r="A10" s="6" t="s">
        <v>33</v>
      </c>
      <c r="B10" s="6" t="s">
        <v>158</v>
      </c>
      <c r="C10" s="6" t="s">
        <v>184</v>
      </c>
      <c r="D10" s="6">
        <v>27031</v>
      </c>
      <c r="E10" s="6">
        <v>27031</v>
      </c>
      <c r="F10" s="6">
        <v>965.39</v>
      </c>
      <c r="G10" s="6" t="s">
        <v>22</v>
      </c>
      <c r="H10" s="1">
        <v>-0.11</v>
      </c>
      <c r="I10" s="6">
        <v>-0.52100000000000002</v>
      </c>
      <c r="J10" s="6">
        <v>108253</v>
      </c>
      <c r="K10" s="1">
        <v>3.1E-2</v>
      </c>
      <c r="L10" s="6">
        <v>9</v>
      </c>
    </row>
    <row r="11" spans="1:13" x14ac:dyDescent="0.35">
      <c r="A11" s="6" t="s">
        <v>25</v>
      </c>
      <c r="B11" s="6" t="s">
        <v>173</v>
      </c>
      <c r="C11" s="6" t="s">
        <v>185</v>
      </c>
      <c r="D11" s="6">
        <v>32260.959999999999</v>
      </c>
      <c r="E11" s="6">
        <v>33164.26</v>
      </c>
      <c r="F11" s="6">
        <v>1105.48</v>
      </c>
      <c r="G11" s="1">
        <v>2.7999999999999997E-2</v>
      </c>
      <c r="H11" s="1">
        <v>9.1999999999999998E-2</v>
      </c>
      <c r="I11" s="6">
        <v>-0.41299999999999998</v>
      </c>
      <c r="J11" s="6">
        <v>106160</v>
      </c>
      <c r="K11" s="1">
        <v>3.1E-2</v>
      </c>
      <c r="L11" s="6">
        <v>10</v>
      </c>
    </row>
    <row r="12" spans="1:13" x14ac:dyDescent="0.35">
      <c r="A12" s="6" t="s">
        <v>23</v>
      </c>
      <c r="B12" s="6" t="s">
        <v>172</v>
      </c>
      <c r="C12" s="6" t="s">
        <v>184</v>
      </c>
      <c r="D12" s="6">
        <v>26377.920000000002</v>
      </c>
      <c r="E12" s="6">
        <v>26984.61</v>
      </c>
      <c r="F12" s="6">
        <v>963.74</v>
      </c>
      <c r="G12" s="1">
        <v>2.3E-2</v>
      </c>
      <c r="H12" s="1">
        <v>-0.11199999999999999</v>
      </c>
      <c r="I12" s="6">
        <v>-0.52200000000000002</v>
      </c>
      <c r="J12" s="6">
        <v>85768</v>
      </c>
      <c r="K12" s="1">
        <v>2.5000000000000001E-2</v>
      </c>
      <c r="L12" s="6">
        <v>11</v>
      </c>
    </row>
    <row r="13" spans="1:13" x14ac:dyDescent="0.35">
      <c r="A13" s="6" t="s">
        <v>23</v>
      </c>
      <c r="B13" s="6" t="s">
        <v>172</v>
      </c>
      <c r="C13" s="6" t="s">
        <v>187</v>
      </c>
      <c r="D13" s="6">
        <v>52883.96</v>
      </c>
      <c r="E13" s="6">
        <v>52883.96</v>
      </c>
      <c r="F13" s="6">
        <v>944.36</v>
      </c>
      <c r="G13" s="6" t="s">
        <v>22</v>
      </c>
      <c r="H13" s="1">
        <v>0.74099999999999999</v>
      </c>
      <c r="I13" s="6">
        <v>-6.3E-2</v>
      </c>
      <c r="J13" s="6">
        <v>64007</v>
      </c>
      <c r="K13" s="1">
        <v>1.8000000000000002E-2</v>
      </c>
      <c r="L13" s="6">
        <v>12</v>
      </c>
    </row>
    <row r="14" spans="1:13" x14ac:dyDescent="0.35">
      <c r="A14" s="6" t="s">
        <v>170</v>
      </c>
      <c r="B14" s="6" t="s">
        <v>169</v>
      </c>
      <c r="C14" s="6" t="s">
        <v>186</v>
      </c>
      <c r="D14" s="6">
        <v>22564.71</v>
      </c>
      <c r="E14" s="6">
        <v>22790.36</v>
      </c>
      <c r="F14" s="6">
        <v>813.94</v>
      </c>
      <c r="G14" s="1">
        <v>0.01</v>
      </c>
      <c r="H14" s="1">
        <v>-0.25</v>
      </c>
      <c r="I14" s="6">
        <v>-0.59599999999999997</v>
      </c>
      <c r="J14" s="6">
        <v>47608</v>
      </c>
      <c r="K14" s="1">
        <v>1.3999999999999999E-2</v>
      </c>
      <c r="L14" s="6">
        <v>13</v>
      </c>
    </row>
    <row r="15" spans="1:13" x14ac:dyDescent="0.35">
      <c r="A15" s="6" t="s">
        <v>16</v>
      </c>
      <c r="B15" s="6" t="s">
        <v>160</v>
      </c>
      <c r="C15" s="6" t="s">
        <v>183</v>
      </c>
      <c r="D15" s="6">
        <v>56460.81</v>
      </c>
      <c r="E15" s="6">
        <v>56460.81</v>
      </c>
      <c r="F15" s="6">
        <v>941.01</v>
      </c>
      <c r="G15" s="6" t="s">
        <v>22</v>
      </c>
      <c r="H15" s="1">
        <v>0.8590000000000001</v>
      </c>
      <c r="I15" s="6" t="s">
        <v>15</v>
      </c>
      <c r="J15" s="6">
        <v>23120</v>
      </c>
      <c r="K15" s="1">
        <v>6.9999999999999993E-3</v>
      </c>
      <c r="L15" s="6">
        <v>14</v>
      </c>
    </row>
    <row r="16" spans="1:13" x14ac:dyDescent="0.35">
      <c r="A16" s="6" t="s">
        <v>165</v>
      </c>
      <c r="B16" s="6" t="s">
        <v>164</v>
      </c>
      <c r="C16" s="6" t="s">
        <v>179</v>
      </c>
      <c r="D16" s="6">
        <v>29907.21</v>
      </c>
      <c r="E16" s="6">
        <v>30654.89</v>
      </c>
      <c r="F16" s="6">
        <v>1021.83</v>
      </c>
      <c r="G16" s="1">
        <v>2.5000000000000001E-2</v>
      </c>
      <c r="H16" s="1">
        <v>9.0000000000000011E-3</v>
      </c>
      <c r="I16" s="6">
        <v>-0.45700000000000002</v>
      </c>
      <c r="J16" s="6">
        <v>18690</v>
      </c>
      <c r="K16" s="1">
        <v>5.0000000000000001E-3</v>
      </c>
      <c r="L16" s="6">
        <v>15</v>
      </c>
    </row>
    <row r="17" spans="1:12" x14ac:dyDescent="0.35">
      <c r="A17" s="6" t="s">
        <v>88</v>
      </c>
      <c r="B17" s="6" t="s">
        <v>156</v>
      </c>
      <c r="C17" s="6" t="s">
        <v>185</v>
      </c>
      <c r="D17" s="6">
        <v>30260</v>
      </c>
      <c r="E17" s="6">
        <v>30870</v>
      </c>
      <c r="F17" s="6">
        <v>1029</v>
      </c>
      <c r="G17" s="1">
        <v>0.02</v>
      </c>
      <c r="H17" s="1">
        <v>1.6E-2</v>
      </c>
      <c r="I17" s="6">
        <v>-0.45299999999999996</v>
      </c>
      <c r="J17" s="6">
        <v>15379</v>
      </c>
      <c r="K17" s="1">
        <v>4.0000000000000001E-3</v>
      </c>
      <c r="L17" s="6">
        <v>16</v>
      </c>
    </row>
    <row r="18" spans="1:12" x14ac:dyDescent="0.35">
      <c r="A18" s="6" t="s">
        <v>19</v>
      </c>
      <c r="B18" s="6" t="s">
        <v>166</v>
      </c>
      <c r="C18" s="6" t="s">
        <v>180</v>
      </c>
      <c r="D18" s="6">
        <v>17209.990000000002</v>
      </c>
      <c r="E18" s="6">
        <v>17209.990000000002</v>
      </c>
      <c r="F18" s="6">
        <v>1229.29</v>
      </c>
      <c r="G18" s="6" t="s">
        <v>22</v>
      </c>
      <c r="H18" s="1">
        <v>-0.433</v>
      </c>
      <c r="I18" s="6">
        <v>-0.69499999999999995</v>
      </c>
      <c r="J18" s="6">
        <v>14389</v>
      </c>
      <c r="K18" s="1">
        <v>4.0000000000000001E-3</v>
      </c>
      <c r="L18" s="6">
        <v>17</v>
      </c>
    </row>
    <row r="19" spans="1:12" x14ac:dyDescent="0.35">
      <c r="A19" s="6" t="s">
        <v>75</v>
      </c>
      <c r="B19" s="6" t="s">
        <v>151</v>
      </c>
      <c r="C19" s="6" t="s">
        <v>184</v>
      </c>
      <c r="D19" s="6">
        <v>31893.23</v>
      </c>
      <c r="E19" s="6">
        <v>32818.129999999997</v>
      </c>
      <c r="F19" s="6">
        <v>1172.08</v>
      </c>
      <c r="G19" s="1">
        <v>2.8999999999999998E-2</v>
      </c>
      <c r="H19" s="1">
        <v>0.08</v>
      </c>
      <c r="I19" s="6">
        <v>-0.41899999999999998</v>
      </c>
      <c r="J19" s="6">
        <v>13993</v>
      </c>
      <c r="K19" s="1">
        <v>4.0000000000000001E-3</v>
      </c>
      <c r="L19" s="6">
        <v>18</v>
      </c>
    </row>
    <row r="20" spans="1:12" x14ac:dyDescent="0.35">
      <c r="A20" s="6" t="s">
        <v>41</v>
      </c>
      <c r="B20" s="6" t="s">
        <v>162</v>
      </c>
      <c r="C20" s="6" t="s">
        <v>161</v>
      </c>
      <c r="D20" s="6">
        <v>40305.15</v>
      </c>
      <c r="E20" s="6">
        <v>40708.200000000004</v>
      </c>
      <c r="F20" s="6">
        <v>1453.86</v>
      </c>
      <c r="G20" s="1">
        <v>0.01</v>
      </c>
      <c r="H20" s="1">
        <v>0.34</v>
      </c>
      <c r="I20" s="6">
        <v>-0.27899999999999997</v>
      </c>
      <c r="J20" s="6">
        <v>13261</v>
      </c>
      <c r="K20" s="1">
        <v>4.0000000000000001E-3</v>
      </c>
      <c r="L20" s="6">
        <v>19</v>
      </c>
    </row>
    <row r="21" spans="1:12" x14ac:dyDescent="0.35">
      <c r="A21" s="6" t="s">
        <v>33</v>
      </c>
      <c r="B21" s="6" t="s">
        <v>158</v>
      </c>
      <c r="C21" s="6" t="s">
        <v>183</v>
      </c>
      <c r="D21" s="6">
        <v>56530</v>
      </c>
      <c r="E21" s="6">
        <v>56530</v>
      </c>
      <c r="F21" s="6">
        <v>942.17</v>
      </c>
      <c r="G21" s="6" t="s">
        <v>22</v>
      </c>
      <c r="H21" s="1">
        <v>0.86099999999999999</v>
      </c>
      <c r="I21" s="6">
        <v>1E-3</v>
      </c>
      <c r="J21" s="6">
        <v>10929</v>
      </c>
      <c r="K21" s="1">
        <v>3.0000000000000001E-3</v>
      </c>
      <c r="L21" s="6">
        <v>20</v>
      </c>
    </row>
    <row r="22" spans="1:12" x14ac:dyDescent="0.35">
      <c r="A22" s="6" t="s">
        <v>16</v>
      </c>
      <c r="B22" s="6" t="s">
        <v>160</v>
      </c>
      <c r="C22" s="6" t="s">
        <v>182</v>
      </c>
      <c r="D22" s="6">
        <v>16082.43</v>
      </c>
      <c r="E22" s="6">
        <v>16548.82</v>
      </c>
      <c r="F22" s="6">
        <v>1103.25</v>
      </c>
      <c r="G22" s="1">
        <v>2.8999999999999998E-2</v>
      </c>
      <c r="H22" s="1">
        <v>-0.45500000000000002</v>
      </c>
      <c r="I22" s="6" t="s">
        <v>15</v>
      </c>
      <c r="J22" s="6">
        <v>8323</v>
      </c>
      <c r="K22" s="1">
        <v>2E-3</v>
      </c>
      <c r="L22" s="6">
        <v>21</v>
      </c>
    </row>
    <row r="23" spans="1:12" x14ac:dyDescent="0.35">
      <c r="A23" s="6" t="s">
        <v>88</v>
      </c>
      <c r="B23" s="6" t="s">
        <v>156</v>
      </c>
      <c r="C23" s="6" t="s">
        <v>181</v>
      </c>
      <c r="D23" s="6">
        <v>55280</v>
      </c>
      <c r="E23" s="6">
        <v>56390</v>
      </c>
      <c r="F23" s="6">
        <v>939.83</v>
      </c>
      <c r="G23" s="1">
        <v>0.02</v>
      </c>
      <c r="H23" s="1">
        <v>0.85599999999999998</v>
      </c>
      <c r="I23" s="6">
        <v>-1E-3</v>
      </c>
      <c r="J23" s="6">
        <v>3430</v>
      </c>
      <c r="K23" s="1">
        <v>1E-3</v>
      </c>
      <c r="L23" s="6">
        <v>22</v>
      </c>
    </row>
    <row r="24" spans="1:12" x14ac:dyDescent="0.35">
      <c r="A24" s="6" t="s">
        <v>43</v>
      </c>
      <c r="B24" s="6" t="s">
        <v>153</v>
      </c>
      <c r="C24" s="6" t="s">
        <v>179</v>
      </c>
      <c r="D24" s="6">
        <v>35430.230000000003</v>
      </c>
      <c r="E24" s="6">
        <v>35430.230000000003</v>
      </c>
      <c r="F24" s="6">
        <v>1181.01</v>
      </c>
      <c r="G24" s="6" t="s">
        <v>22</v>
      </c>
      <c r="H24" s="1">
        <v>0.16600000000000001</v>
      </c>
      <c r="I24" s="6">
        <v>-0.37200000000000005</v>
      </c>
      <c r="J24" s="6">
        <v>2579</v>
      </c>
      <c r="K24" s="1">
        <v>1E-3</v>
      </c>
      <c r="L24" s="6">
        <v>23</v>
      </c>
    </row>
    <row r="25" spans="1:12" x14ac:dyDescent="0.35">
      <c r="A25" s="6" t="s">
        <v>75</v>
      </c>
      <c r="B25" s="6" t="s">
        <v>151</v>
      </c>
      <c r="C25" s="6" t="s">
        <v>180</v>
      </c>
      <c r="D25" s="6">
        <v>16202.91</v>
      </c>
      <c r="E25" s="6">
        <v>16672.79</v>
      </c>
      <c r="F25" s="6">
        <v>1190.9100000000001</v>
      </c>
      <c r="G25" s="1">
        <v>2.8999999999999998E-2</v>
      </c>
      <c r="H25" s="1">
        <v>-0.45100000000000001</v>
      </c>
      <c r="I25" s="6">
        <v>-0.70499999999999996</v>
      </c>
      <c r="J25" s="6">
        <v>837</v>
      </c>
      <c r="K25" s="6" t="s">
        <v>22</v>
      </c>
      <c r="L25" s="6">
        <v>24</v>
      </c>
    </row>
    <row r="26" spans="1:12" x14ac:dyDescent="0.35">
      <c r="A26" s="6" t="s">
        <v>75</v>
      </c>
      <c r="B26" s="6" t="s">
        <v>151</v>
      </c>
      <c r="C26" s="6" t="s">
        <v>179</v>
      </c>
      <c r="D26" s="6">
        <v>31931.95</v>
      </c>
      <c r="E26" s="6">
        <v>32857.980000000003</v>
      </c>
      <c r="F26" s="6">
        <v>1095.27</v>
      </c>
      <c r="G26" s="1">
        <v>2.8999999999999998E-2</v>
      </c>
      <c r="H26" s="1">
        <v>8.199999999999999E-2</v>
      </c>
      <c r="I26" s="6">
        <v>-0.41799999999999998</v>
      </c>
      <c r="J26" s="6">
        <v>335</v>
      </c>
      <c r="K26" s="6" t="s">
        <v>22</v>
      </c>
      <c r="L26" s="6">
        <v>25</v>
      </c>
    </row>
    <row r="27" spans="1:12" x14ac:dyDescent="0.35">
      <c r="A27" s="6" t="s">
        <v>178</v>
      </c>
      <c r="B27" s="6" t="s">
        <v>177</v>
      </c>
      <c r="C27" s="6" t="s">
        <v>137</v>
      </c>
      <c r="D27" s="6" t="s">
        <v>22</v>
      </c>
      <c r="E27" s="6" t="s">
        <v>22</v>
      </c>
      <c r="F27" s="6" t="s">
        <v>22</v>
      </c>
      <c r="G27" s="6" t="s">
        <v>22</v>
      </c>
      <c r="H27" s="6" t="s">
        <v>22</v>
      </c>
      <c r="I27" s="6" t="s">
        <v>22</v>
      </c>
      <c r="J27" s="6">
        <v>56</v>
      </c>
      <c r="K27" s="6" t="s">
        <v>22</v>
      </c>
      <c r="L27" s="6">
        <v>26</v>
      </c>
    </row>
    <row r="28" spans="1:12" x14ac:dyDescent="0.35">
      <c r="A28" s="6" t="s">
        <v>84</v>
      </c>
      <c r="B28" s="6" t="s">
        <v>148</v>
      </c>
      <c r="C28" s="6" t="s">
        <v>176</v>
      </c>
      <c r="D28" s="6">
        <v>26555.89</v>
      </c>
      <c r="E28" s="6">
        <v>26555.89</v>
      </c>
      <c r="F28" s="6">
        <v>948.42</v>
      </c>
      <c r="G28" s="6" t="s">
        <v>22</v>
      </c>
      <c r="H28" s="1">
        <v>-0.126</v>
      </c>
      <c r="I28" s="6">
        <v>-0.53</v>
      </c>
      <c r="J28" s="6">
        <v>11</v>
      </c>
      <c r="K28" s="6" t="s">
        <v>22</v>
      </c>
      <c r="L28" s="6">
        <v>27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8D12D-49E5-4615-B996-AE67C544E753}">
  <dimension ref="A1:M29"/>
  <sheetViews>
    <sheetView topLeftCell="C1" workbookViewId="0">
      <selection activeCell="M6" sqref="M6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9" t="s">
        <v>16</v>
      </c>
      <c r="B2" s="9" t="s">
        <v>160</v>
      </c>
      <c r="C2" s="9" t="s">
        <v>150</v>
      </c>
      <c r="D2" s="9">
        <v>35294.81</v>
      </c>
      <c r="E2" s="9">
        <v>35824.239999999998</v>
      </c>
      <c r="F2" s="9">
        <v>1194.1400000000001</v>
      </c>
      <c r="G2" s="3">
        <v>1.4999999999999999E-2</v>
      </c>
      <c r="H2" s="3">
        <v>-7.8E-2</v>
      </c>
      <c r="I2" s="9" t="s">
        <v>15</v>
      </c>
      <c r="J2" s="9">
        <v>1085055</v>
      </c>
      <c r="K2" s="3">
        <v>0.26</v>
      </c>
      <c r="L2" s="9">
        <v>1</v>
      </c>
    </row>
    <row r="3" spans="1:13" x14ac:dyDescent="0.35">
      <c r="A3" s="6" t="s">
        <v>19</v>
      </c>
      <c r="B3" s="6" t="s">
        <v>166</v>
      </c>
      <c r="C3" s="6" t="s">
        <v>163</v>
      </c>
      <c r="D3" s="6">
        <v>39522.5</v>
      </c>
      <c r="E3" s="6">
        <v>39522.5</v>
      </c>
      <c r="F3" s="6">
        <v>1411.52</v>
      </c>
      <c r="G3" s="6" t="s">
        <v>22</v>
      </c>
      <c r="H3" s="1">
        <v>1.7000000000000001E-2</v>
      </c>
      <c r="I3" s="6">
        <v>-0.43099999999999999</v>
      </c>
      <c r="J3" s="6">
        <v>785941</v>
      </c>
      <c r="K3" s="1">
        <v>0.18899999999999997</v>
      </c>
      <c r="L3" s="6">
        <v>2</v>
      </c>
    </row>
    <row r="4" spans="1:13" x14ac:dyDescent="0.35">
      <c r="A4" s="6" t="s">
        <v>31</v>
      </c>
      <c r="B4" s="6" t="s">
        <v>175</v>
      </c>
      <c r="C4" s="6" t="s">
        <v>150</v>
      </c>
      <c r="D4" s="6">
        <v>35086.629999999997</v>
      </c>
      <c r="E4" s="6">
        <v>35086.629999999997</v>
      </c>
      <c r="F4" s="6">
        <v>1169.55</v>
      </c>
      <c r="G4" s="6" t="s">
        <v>22</v>
      </c>
      <c r="H4" s="1">
        <v>-9.6999999999999989E-2</v>
      </c>
      <c r="I4" s="6">
        <v>-0.495</v>
      </c>
      <c r="J4" s="6">
        <v>519835</v>
      </c>
      <c r="K4" s="1">
        <v>0.125</v>
      </c>
      <c r="L4" s="6">
        <v>3</v>
      </c>
    </row>
    <row r="5" spans="1:13" x14ac:dyDescent="0.35">
      <c r="A5" s="6" t="s">
        <v>33</v>
      </c>
      <c r="B5" s="6" t="s">
        <v>158</v>
      </c>
      <c r="C5" s="6" t="s">
        <v>150</v>
      </c>
      <c r="D5" s="6">
        <v>33181</v>
      </c>
      <c r="E5" s="6">
        <v>33679</v>
      </c>
      <c r="F5" s="6">
        <v>1122.6300000000001</v>
      </c>
      <c r="G5" s="1">
        <v>1.4999999999999999E-2</v>
      </c>
      <c r="H5" s="1">
        <v>-0.13300000000000001</v>
      </c>
      <c r="I5" s="6">
        <v>-0.51600000000000001</v>
      </c>
      <c r="J5" s="6">
        <v>362091</v>
      </c>
      <c r="K5" s="1">
        <v>8.6999999999999994E-2</v>
      </c>
      <c r="L5" s="6">
        <v>4</v>
      </c>
    </row>
    <row r="6" spans="1:13" x14ac:dyDescent="0.35">
      <c r="A6" s="7" t="s">
        <v>39</v>
      </c>
      <c r="B6" s="7" t="s">
        <v>154</v>
      </c>
      <c r="C6" s="7" t="s">
        <v>163</v>
      </c>
      <c r="D6" s="7">
        <v>38851.35</v>
      </c>
      <c r="E6" s="7">
        <v>38851.35</v>
      </c>
      <c r="F6" s="7">
        <v>1387.55</v>
      </c>
      <c r="G6" s="7" t="s">
        <v>22</v>
      </c>
      <c r="H6" s="7" t="s">
        <v>22</v>
      </c>
      <c r="I6" s="7">
        <v>-0.441</v>
      </c>
      <c r="J6" s="7">
        <v>293011</v>
      </c>
      <c r="K6" s="5">
        <v>7.0000000000000007E-2</v>
      </c>
      <c r="L6" s="7">
        <v>5</v>
      </c>
      <c r="M6" s="10">
        <f>+F2/F6-1</f>
        <v>-0.13938957154697118</v>
      </c>
    </row>
    <row r="7" spans="1:13" x14ac:dyDescent="0.35">
      <c r="A7" s="6" t="s">
        <v>23</v>
      </c>
      <c r="B7" s="6" t="s">
        <v>172</v>
      </c>
      <c r="C7" s="6" t="s">
        <v>150</v>
      </c>
      <c r="D7" s="6">
        <v>33303.97</v>
      </c>
      <c r="E7" s="6">
        <v>33637.01</v>
      </c>
      <c r="F7" s="6">
        <v>1121.23</v>
      </c>
      <c r="G7" s="1">
        <v>0.01</v>
      </c>
      <c r="H7" s="1">
        <v>-0.13400000000000001</v>
      </c>
      <c r="I7" s="6">
        <v>-0.51600000000000001</v>
      </c>
      <c r="J7" s="6">
        <v>238842</v>
      </c>
      <c r="K7" s="1">
        <v>5.7000000000000002E-2</v>
      </c>
      <c r="L7" s="6">
        <v>6</v>
      </c>
    </row>
    <row r="8" spans="1:13" x14ac:dyDescent="0.35">
      <c r="A8" s="6" t="s">
        <v>58</v>
      </c>
      <c r="B8" s="6" t="s">
        <v>174</v>
      </c>
      <c r="C8" s="6" t="s">
        <v>150</v>
      </c>
      <c r="D8" s="6">
        <v>35451.620000000003</v>
      </c>
      <c r="E8" s="6">
        <v>35806.129999999997</v>
      </c>
      <c r="F8" s="6">
        <v>1193.54</v>
      </c>
      <c r="G8" s="1">
        <v>0.01</v>
      </c>
      <c r="H8" s="1">
        <v>-7.8E-2</v>
      </c>
      <c r="I8" s="6">
        <v>-0.48499999999999999</v>
      </c>
      <c r="J8" s="6">
        <v>142355</v>
      </c>
      <c r="K8" s="1">
        <v>3.4000000000000002E-2</v>
      </c>
      <c r="L8" s="6">
        <v>7</v>
      </c>
    </row>
    <row r="9" spans="1:13" x14ac:dyDescent="0.35">
      <c r="A9" s="6" t="s">
        <v>84</v>
      </c>
      <c r="B9" s="6" t="s">
        <v>148</v>
      </c>
      <c r="C9" s="6" t="s">
        <v>150</v>
      </c>
      <c r="D9" s="6">
        <v>36259.74</v>
      </c>
      <c r="E9" s="6">
        <v>36259.74</v>
      </c>
      <c r="F9" s="6">
        <v>1208.6600000000001</v>
      </c>
      <c r="G9" s="6" t="s">
        <v>22</v>
      </c>
      <c r="H9" s="1">
        <v>-6.7000000000000004E-2</v>
      </c>
      <c r="I9" s="6">
        <v>-0.47799999999999998</v>
      </c>
      <c r="J9" s="6">
        <v>141975</v>
      </c>
      <c r="K9" s="1">
        <v>3.4000000000000002E-2</v>
      </c>
      <c r="L9" s="6">
        <v>8</v>
      </c>
    </row>
    <row r="10" spans="1:13" x14ac:dyDescent="0.35">
      <c r="A10" s="6" t="s">
        <v>25</v>
      </c>
      <c r="B10" s="6" t="s">
        <v>173</v>
      </c>
      <c r="C10" s="6" t="s">
        <v>167</v>
      </c>
      <c r="D10" s="6">
        <v>42087.81</v>
      </c>
      <c r="E10" s="6">
        <v>43266.26</v>
      </c>
      <c r="F10" s="6">
        <v>1442.21</v>
      </c>
      <c r="G10" s="1">
        <v>2.7999999999999997E-2</v>
      </c>
      <c r="H10" s="1">
        <v>0.114</v>
      </c>
      <c r="I10" s="6">
        <v>-0.37799999999999995</v>
      </c>
      <c r="J10" s="6">
        <v>111975</v>
      </c>
      <c r="K10" s="1">
        <v>2.7000000000000003E-2</v>
      </c>
      <c r="L10" s="6">
        <v>9</v>
      </c>
    </row>
    <row r="11" spans="1:13" x14ac:dyDescent="0.35">
      <c r="A11" s="6" t="s">
        <v>23</v>
      </c>
      <c r="B11" s="6" t="s">
        <v>172</v>
      </c>
      <c r="C11" s="6" t="s">
        <v>163</v>
      </c>
      <c r="D11" s="6">
        <v>32902.31</v>
      </c>
      <c r="E11" s="6">
        <v>33724.879999999997</v>
      </c>
      <c r="F11" s="6">
        <v>1204.46</v>
      </c>
      <c r="G11" s="1">
        <v>2.5000000000000001E-2</v>
      </c>
      <c r="H11" s="1">
        <v>-0.13200000000000001</v>
      </c>
      <c r="I11" s="6">
        <v>-0.51500000000000001</v>
      </c>
      <c r="J11" s="6">
        <v>93705</v>
      </c>
      <c r="K11" s="1">
        <v>2.2000000000000002E-2</v>
      </c>
      <c r="L11" s="6">
        <v>10</v>
      </c>
    </row>
    <row r="12" spans="1:13" x14ac:dyDescent="0.35">
      <c r="A12" s="6" t="s">
        <v>33</v>
      </c>
      <c r="B12" s="6" t="s">
        <v>158</v>
      </c>
      <c r="C12" s="6" t="s">
        <v>163</v>
      </c>
      <c r="D12" s="6">
        <v>34031</v>
      </c>
      <c r="E12" s="6">
        <v>35017</v>
      </c>
      <c r="F12" s="6">
        <v>1250.6099999999999</v>
      </c>
      <c r="G12" s="1">
        <v>2.8999999999999998E-2</v>
      </c>
      <c r="H12" s="1">
        <v>-9.9000000000000005E-2</v>
      </c>
      <c r="I12" s="6">
        <v>-0.496</v>
      </c>
      <c r="J12" s="6">
        <v>92734</v>
      </c>
      <c r="K12" s="1">
        <v>2.2000000000000002E-2</v>
      </c>
      <c r="L12" s="6">
        <v>11</v>
      </c>
    </row>
    <row r="13" spans="1:13" x14ac:dyDescent="0.35">
      <c r="A13" s="6" t="s">
        <v>23</v>
      </c>
      <c r="B13" s="6" t="s">
        <v>172</v>
      </c>
      <c r="C13" s="6" t="s">
        <v>171</v>
      </c>
      <c r="D13" s="6">
        <v>66213.3</v>
      </c>
      <c r="E13" s="6">
        <v>66213.3</v>
      </c>
      <c r="F13" s="6">
        <v>1182.3800000000001</v>
      </c>
      <c r="G13" s="6" t="s">
        <v>22</v>
      </c>
      <c r="H13" s="1">
        <v>0.70400000000000007</v>
      </c>
      <c r="I13" s="6">
        <v>-4.7E-2</v>
      </c>
      <c r="J13" s="6">
        <v>72459</v>
      </c>
      <c r="K13" s="1">
        <v>1.7000000000000001E-2</v>
      </c>
      <c r="L13" s="6">
        <v>12</v>
      </c>
    </row>
    <row r="14" spans="1:13" x14ac:dyDescent="0.35">
      <c r="A14" s="6" t="s">
        <v>170</v>
      </c>
      <c r="B14" s="6" t="s">
        <v>169</v>
      </c>
      <c r="C14" s="6" t="s">
        <v>168</v>
      </c>
      <c r="D14" s="6">
        <v>29135.91</v>
      </c>
      <c r="E14" s="6">
        <v>29427.27</v>
      </c>
      <c r="F14" s="6">
        <v>1050.97</v>
      </c>
      <c r="G14" s="1">
        <v>0.01</v>
      </c>
      <c r="H14" s="1">
        <v>-0.24299999999999999</v>
      </c>
      <c r="I14" s="6">
        <v>-0.57700000000000007</v>
      </c>
      <c r="J14" s="6">
        <v>60995</v>
      </c>
      <c r="K14" s="1">
        <v>1.4999999999999999E-2</v>
      </c>
      <c r="L14" s="6">
        <v>13</v>
      </c>
    </row>
    <row r="15" spans="1:13" x14ac:dyDescent="0.35">
      <c r="A15" s="6" t="s">
        <v>88</v>
      </c>
      <c r="B15" s="6" t="s">
        <v>156</v>
      </c>
      <c r="C15" s="6" t="s">
        <v>167</v>
      </c>
      <c r="D15" s="6">
        <v>32320</v>
      </c>
      <c r="E15" s="6">
        <v>32970</v>
      </c>
      <c r="F15" s="6">
        <v>1099</v>
      </c>
      <c r="G15" s="1">
        <v>0.02</v>
      </c>
      <c r="H15" s="1">
        <v>-0.151</v>
      </c>
      <c r="I15" s="6">
        <v>-0.52600000000000002</v>
      </c>
      <c r="J15" s="6">
        <v>33018</v>
      </c>
      <c r="K15" s="1">
        <v>8.0000000000000002E-3</v>
      </c>
      <c r="L15" s="6">
        <v>14</v>
      </c>
    </row>
    <row r="16" spans="1:13" x14ac:dyDescent="0.35">
      <c r="A16" s="6" t="s">
        <v>19</v>
      </c>
      <c r="B16" s="6" t="s">
        <v>166</v>
      </c>
      <c r="C16" s="6" t="s">
        <v>152</v>
      </c>
      <c r="D16" s="6">
        <v>21684.23</v>
      </c>
      <c r="E16" s="6">
        <v>21684.23</v>
      </c>
      <c r="F16" s="6">
        <v>1548.87</v>
      </c>
      <c r="G16" s="6" t="s">
        <v>22</v>
      </c>
      <c r="H16" s="1">
        <v>-0.442</v>
      </c>
      <c r="I16" s="6">
        <v>-0.68799999999999994</v>
      </c>
      <c r="J16" s="6">
        <v>27286</v>
      </c>
      <c r="K16" s="1">
        <v>6.9999999999999993E-3</v>
      </c>
      <c r="L16" s="6">
        <v>15</v>
      </c>
    </row>
    <row r="17" spans="1:12" x14ac:dyDescent="0.35">
      <c r="A17" s="6" t="s">
        <v>16</v>
      </c>
      <c r="B17" s="6" t="s">
        <v>160</v>
      </c>
      <c r="C17" s="6" t="s">
        <v>157</v>
      </c>
      <c r="D17" s="6">
        <v>69514.100000000006</v>
      </c>
      <c r="E17" s="6">
        <v>69514.100000000006</v>
      </c>
      <c r="F17" s="6">
        <v>1158.57</v>
      </c>
      <c r="G17" s="6" t="s">
        <v>22</v>
      </c>
      <c r="H17" s="1">
        <v>0.78900000000000003</v>
      </c>
      <c r="I17" s="6" t="s">
        <v>15</v>
      </c>
      <c r="J17" s="6">
        <v>25843</v>
      </c>
      <c r="K17" s="1">
        <v>6.0000000000000001E-3</v>
      </c>
      <c r="L17" s="6">
        <v>16</v>
      </c>
    </row>
    <row r="18" spans="1:12" x14ac:dyDescent="0.35">
      <c r="A18" s="6" t="s">
        <v>165</v>
      </c>
      <c r="B18" s="6" t="s">
        <v>164</v>
      </c>
      <c r="C18" s="6" t="s">
        <v>150</v>
      </c>
      <c r="D18" s="6">
        <v>35935.160000000003</v>
      </c>
      <c r="E18" s="6">
        <v>36833.53</v>
      </c>
      <c r="F18" s="6">
        <v>1227.78</v>
      </c>
      <c r="G18" s="1">
        <v>2.5000000000000001E-2</v>
      </c>
      <c r="H18" s="1">
        <v>-5.2000000000000005E-2</v>
      </c>
      <c r="I18" s="6">
        <v>-0.47</v>
      </c>
      <c r="J18" s="6">
        <v>21821</v>
      </c>
      <c r="K18" s="1">
        <v>5.0000000000000001E-3</v>
      </c>
      <c r="L18" s="6">
        <v>17</v>
      </c>
    </row>
    <row r="19" spans="1:12" x14ac:dyDescent="0.35">
      <c r="A19" s="6" t="s">
        <v>75</v>
      </c>
      <c r="B19" s="6" t="s">
        <v>151</v>
      </c>
      <c r="C19" s="6" t="s">
        <v>163</v>
      </c>
      <c r="D19" s="6">
        <v>40744.959999999999</v>
      </c>
      <c r="E19" s="6">
        <v>41926.559999999998</v>
      </c>
      <c r="F19" s="6">
        <v>1497.38</v>
      </c>
      <c r="G19" s="1">
        <v>2.8999999999999998E-2</v>
      </c>
      <c r="H19" s="1">
        <v>7.9000000000000001E-2</v>
      </c>
      <c r="I19" s="6">
        <v>-0.39700000000000002</v>
      </c>
      <c r="J19" s="6">
        <v>16791</v>
      </c>
      <c r="K19" s="1">
        <v>4.0000000000000001E-3</v>
      </c>
      <c r="L19" s="6">
        <v>18</v>
      </c>
    </row>
    <row r="20" spans="1:12" x14ac:dyDescent="0.35">
      <c r="A20" s="6" t="s">
        <v>41</v>
      </c>
      <c r="B20" s="6" t="s">
        <v>162</v>
      </c>
      <c r="C20" s="6" t="s">
        <v>161</v>
      </c>
      <c r="D20" s="6">
        <v>40305.15</v>
      </c>
      <c r="E20" s="6">
        <v>40708.200000000004</v>
      </c>
      <c r="F20" s="6">
        <v>1453.86</v>
      </c>
      <c r="G20" s="1">
        <v>0.01</v>
      </c>
      <c r="H20" s="1">
        <v>4.8000000000000001E-2</v>
      </c>
      <c r="I20" s="6">
        <v>-0.41399999999999998</v>
      </c>
      <c r="J20" s="6">
        <v>13306</v>
      </c>
      <c r="K20" s="1">
        <v>3.0000000000000001E-3</v>
      </c>
      <c r="L20" s="6">
        <v>19</v>
      </c>
    </row>
    <row r="21" spans="1:12" x14ac:dyDescent="0.35">
      <c r="A21" s="6" t="s">
        <v>16</v>
      </c>
      <c r="B21" s="6" t="s">
        <v>160</v>
      </c>
      <c r="C21" s="6" t="s">
        <v>159</v>
      </c>
      <c r="D21" s="6">
        <v>19713.600000000002</v>
      </c>
      <c r="E21" s="6">
        <v>20285.29</v>
      </c>
      <c r="F21" s="6">
        <v>1352.35</v>
      </c>
      <c r="G21" s="1">
        <v>2.8999999999999998E-2</v>
      </c>
      <c r="H21" s="1">
        <v>-0.47799999999999998</v>
      </c>
      <c r="I21" s="6" t="s">
        <v>15</v>
      </c>
      <c r="J21" s="6">
        <v>10288</v>
      </c>
      <c r="K21" s="1">
        <v>2E-3</v>
      </c>
      <c r="L21" s="6">
        <v>20</v>
      </c>
    </row>
    <row r="22" spans="1:12" x14ac:dyDescent="0.35">
      <c r="A22" s="6" t="s">
        <v>33</v>
      </c>
      <c r="B22" s="6" t="s">
        <v>158</v>
      </c>
      <c r="C22" s="6" t="s">
        <v>157</v>
      </c>
      <c r="D22" s="6">
        <v>69603</v>
      </c>
      <c r="E22" s="6">
        <v>69603</v>
      </c>
      <c r="F22" s="6">
        <v>1160.05</v>
      </c>
      <c r="G22" s="6" t="s">
        <v>22</v>
      </c>
      <c r="H22" s="1">
        <v>0.79200000000000004</v>
      </c>
      <c r="I22" s="6">
        <v>1E-3</v>
      </c>
      <c r="J22" s="6">
        <v>9754</v>
      </c>
      <c r="K22" s="1">
        <v>2E-3</v>
      </c>
      <c r="L22" s="6">
        <v>21</v>
      </c>
    </row>
    <row r="23" spans="1:12" x14ac:dyDescent="0.35">
      <c r="A23" s="6" t="s">
        <v>88</v>
      </c>
      <c r="B23" s="6" t="s">
        <v>156</v>
      </c>
      <c r="C23" s="6" t="s">
        <v>155</v>
      </c>
      <c r="D23" s="6">
        <v>67510</v>
      </c>
      <c r="E23" s="6">
        <v>68860</v>
      </c>
      <c r="F23" s="6">
        <v>1147.67</v>
      </c>
      <c r="G23" s="1">
        <v>0.02</v>
      </c>
      <c r="H23" s="1">
        <v>0.77200000000000002</v>
      </c>
      <c r="I23" s="6">
        <v>-9.0000000000000011E-3</v>
      </c>
      <c r="J23" s="6">
        <v>4406</v>
      </c>
      <c r="K23" s="1">
        <v>1E-3</v>
      </c>
      <c r="L23" s="6">
        <v>22</v>
      </c>
    </row>
    <row r="24" spans="1:12" x14ac:dyDescent="0.35">
      <c r="A24" s="6" t="s">
        <v>39</v>
      </c>
      <c r="B24" s="6" t="s">
        <v>154</v>
      </c>
      <c r="C24" s="6" t="s">
        <v>152</v>
      </c>
      <c r="D24" s="6">
        <v>19933.12</v>
      </c>
      <c r="E24" s="6">
        <v>19933.12</v>
      </c>
      <c r="F24" s="6">
        <v>1423.79</v>
      </c>
      <c r="G24" s="6" t="s">
        <v>22</v>
      </c>
      <c r="H24" s="6" t="s">
        <v>22</v>
      </c>
      <c r="I24" s="6">
        <v>-0.71299999999999997</v>
      </c>
      <c r="J24" s="6">
        <v>2700</v>
      </c>
      <c r="K24" s="1">
        <v>1E-3</v>
      </c>
      <c r="L24" s="6">
        <v>23</v>
      </c>
    </row>
    <row r="25" spans="1:12" x14ac:dyDescent="0.35">
      <c r="A25" s="6" t="s">
        <v>43</v>
      </c>
      <c r="B25" s="6" t="s">
        <v>153</v>
      </c>
      <c r="C25" s="6" t="s">
        <v>150</v>
      </c>
      <c r="D25" s="6">
        <v>45751.41</v>
      </c>
      <c r="E25" s="6">
        <v>45751.41</v>
      </c>
      <c r="F25" s="6">
        <v>1525.05</v>
      </c>
      <c r="G25" s="6" t="s">
        <v>22</v>
      </c>
      <c r="H25" s="1">
        <v>0.17800000000000002</v>
      </c>
      <c r="I25" s="6">
        <v>-0.34200000000000003</v>
      </c>
      <c r="J25" s="6">
        <v>1730</v>
      </c>
      <c r="K25" s="6" t="s">
        <v>22</v>
      </c>
      <c r="L25" s="6">
        <v>24</v>
      </c>
    </row>
    <row r="26" spans="1:12" x14ac:dyDescent="0.35">
      <c r="A26" s="6" t="s">
        <v>75</v>
      </c>
      <c r="B26" s="6" t="s">
        <v>151</v>
      </c>
      <c r="C26" s="6" t="s">
        <v>152</v>
      </c>
      <c r="D26" s="6">
        <v>19175.920000000002</v>
      </c>
      <c r="E26" s="6">
        <v>19732.02</v>
      </c>
      <c r="F26" s="6">
        <v>1409.43</v>
      </c>
      <c r="G26" s="1">
        <v>2.8999999999999998E-2</v>
      </c>
      <c r="H26" s="1">
        <v>-0.49200000000000005</v>
      </c>
      <c r="I26" s="6">
        <v>-0.71599999999999997</v>
      </c>
      <c r="J26" s="6">
        <v>1119</v>
      </c>
      <c r="K26" s="6" t="s">
        <v>22</v>
      </c>
      <c r="L26" s="6">
        <v>25</v>
      </c>
    </row>
    <row r="27" spans="1:12" x14ac:dyDescent="0.35">
      <c r="A27" s="6" t="s">
        <v>75</v>
      </c>
      <c r="B27" s="6" t="s">
        <v>151</v>
      </c>
      <c r="C27" s="6" t="s">
        <v>150</v>
      </c>
      <c r="D27" s="6">
        <v>40814.410000000003</v>
      </c>
      <c r="E27" s="6">
        <v>41998.03</v>
      </c>
      <c r="F27" s="6">
        <v>1399.93</v>
      </c>
      <c r="G27" s="1">
        <v>2.8999999999999998E-2</v>
      </c>
      <c r="H27" s="1">
        <v>8.1000000000000003E-2</v>
      </c>
      <c r="I27" s="6">
        <v>-0.39600000000000002</v>
      </c>
      <c r="J27" s="6">
        <v>248</v>
      </c>
      <c r="K27" s="6" t="s">
        <v>22</v>
      </c>
      <c r="L27" s="6">
        <v>26</v>
      </c>
    </row>
    <row r="28" spans="1:12" x14ac:dyDescent="0.35">
      <c r="A28" s="6" t="s">
        <v>84</v>
      </c>
      <c r="B28" s="6" t="s">
        <v>148</v>
      </c>
      <c r="C28" s="6" t="s">
        <v>149</v>
      </c>
      <c r="D28" s="6">
        <v>33842.42</v>
      </c>
      <c r="E28" s="6">
        <v>33842.42</v>
      </c>
      <c r="F28" s="6">
        <v>1208.6600000000001</v>
      </c>
      <c r="G28" s="6" t="s">
        <v>22</v>
      </c>
      <c r="H28" s="1">
        <v>-0.129</v>
      </c>
      <c r="I28" s="6">
        <v>-0.51300000000000001</v>
      </c>
      <c r="J28" s="6">
        <v>3</v>
      </c>
      <c r="K28" s="6" t="s">
        <v>22</v>
      </c>
      <c r="L28" s="6">
        <v>27</v>
      </c>
    </row>
    <row r="29" spans="1:12" x14ac:dyDescent="0.35">
      <c r="A29" s="6" t="s">
        <v>84</v>
      </c>
      <c r="B29" s="6" t="s">
        <v>148</v>
      </c>
      <c r="C29" s="6" t="s">
        <v>147</v>
      </c>
      <c r="D29" s="6">
        <v>16921.21</v>
      </c>
      <c r="E29" s="6">
        <v>16921.21</v>
      </c>
      <c r="F29" s="6">
        <v>1208.6600000000001</v>
      </c>
      <c r="G29" s="6" t="s">
        <v>22</v>
      </c>
      <c r="H29" s="1">
        <v>-0.56399999999999995</v>
      </c>
      <c r="I29" s="6">
        <v>-0.75700000000000001</v>
      </c>
      <c r="J29" s="6">
        <v>1</v>
      </c>
      <c r="K29" s="6" t="s">
        <v>22</v>
      </c>
      <c r="L29" s="6">
        <v>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A995-8463-4FB4-A6A1-7D66CBBC3C2A}">
  <dimension ref="A1:M8"/>
  <sheetViews>
    <sheetView topLeftCell="C1" workbookViewId="0">
      <selection activeCell="D4" sqref="D4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7" t="s">
        <v>39</v>
      </c>
      <c r="B2" s="7" t="s">
        <v>191</v>
      </c>
      <c r="C2" s="7" t="s">
        <v>197</v>
      </c>
      <c r="D2" s="7">
        <v>42812.81</v>
      </c>
      <c r="E2" s="7">
        <v>42812.81</v>
      </c>
      <c r="F2" s="7">
        <v>1529.03</v>
      </c>
      <c r="G2" s="7" t="s">
        <v>22</v>
      </c>
      <c r="H2" s="7" t="s">
        <v>22</v>
      </c>
      <c r="I2" s="7">
        <v>-0.31900000000000001</v>
      </c>
      <c r="J2" s="7">
        <v>160930</v>
      </c>
      <c r="K2" s="5">
        <v>0.34799999999999998</v>
      </c>
      <c r="L2" s="7">
        <v>1</v>
      </c>
      <c r="M2" s="10">
        <f>+F3/F2-1</f>
        <v>-0.23492671824620837</v>
      </c>
    </row>
    <row r="3" spans="1:13" x14ac:dyDescent="0.35">
      <c r="A3" s="9" t="s">
        <v>23</v>
      </c>
      <c r="B3" s="9" t="s">
        <v>189</v>
      </c>
      <c r="C3" s="9" t="s">
        <v>197</v>
      </c>
      <c r="D3" s="9">
        <v>31800.91</v>
      </c>
      <c r="E3" s="9">
        <v>32754.940000000002</v>
      </c>
      <c r="F3" s="9">
        <v>1169.82</v>
      </c>
      <c r="G3" s="3">
        <v>0.03</v>
      </c>
      <c r="H3" s="3">
        <v>-0.23499999999999999</v>
      </c>
      <c r="I3" s="9" t="s">
        <v>15</v>
      </c>
      <c r="J3" s="9">
        <v>160180</v>
      </c>
      <c r="K3" s="3">
        <v>0.34600000000000003</v>
      </c>
      <c r="L3" s="9">
        <v>2</v>
      </c>
    </row>
    <row r="4" spans="1:13" x14ac:dyDescent="0.35">
      <c r="A4" s="6" t="s">
        <v>84</v>
      </c>
      <c r="B4" s="6" t="s">
        <v>196</v>
      </c>
      <c r="C4" s="6" t="s">
        <v>195</v>
      </c>
      <c r="D4" s="6">
        <v>36520.69</v>
      </c>
      <c r="E4" s="6">
        <v>36520.69</v>
      </c>
      <c r="F4" s="6">
        <v>1217.3599999999999</v>
      </c>
      <c r="G4" s="6" t="s">
        <v>22</v>
      </c>
      <c r="H4" s="1">
        <v>-0.14699999999999999</v>
      </c>
      <c r="I4" s="6">
        <v>-0.41899999999999998</v>
      </c>
      <c r="J4" s="6">
        <v>79118</v>
      </c>
      <c r="K4" s="1">
        <v>0.17100000000000001</v>
      </c>
      <c r="L4" s="6">
        <v>3</v>
      </c>
    </row>
    <row r="5" spans="1:13" x14ac:dyDescent="0.35">
      <c r="A5" s="6" t="s">
        <v>25</v>
      </c>
      <c r="B5" s="6" t="s">
        <v>194</v>
      </c>
      <c r="C5" s="6" t="s">
        <v>193</v>
      </c>
      <c r="D5" s="6">
        <v>40358.660000000003</v>
      </c>
      <c r="E5" s="6">
        <v>41488.71</v>
      </c>
      <c r="F5" s="6">
        <v>1382.96</v>
      </c>
      <c r="G5" s="1">
        <v>2.7999999999999997E-2</v>
      </c>
      <c r="H5" s="1">
        <v>-3.1E-2</v>
      </c>
      <c r="I5" s="6">
        <v>-0.34</v>
      </c>
      <c r="J5" s="6">
        <v>49101</v>
      </c>
      <c r="K5" s="1">
        <v>0.106</v>
      </c>
      <c r="L5" s="6">
        <v>4</v>
      </c>
    </row>
    <row r="6" spans="1:13" x14ac:dyDescent="0.35">
      <c r="A6" s="6" t="s">
        <v>23</v>
      </c>
      <c r="B6" s="6" t="s">
        <v>189</v>
      </c>
      <c r="C6" s="6" t="s">
        <v>192</v>
      </c>
      <c r="D6" s="6">
        <v>62877.72</v>
      </c>
      <c r="E6" s="6">
        <v>62877.72</v>
      </c>
      <c r="F6" s="6">
        <v>1122.82</v>
      </c>
      <c r="G6" s="6" t="s">
        <v>22</v>
      </c>
      <c r="H6" s="1">
        <v>0.46899999999999997</v>
      </c>
      <c r="I6" s="6" t="s">
        <v>15</v>
      </c>
      <c r="J6" s="6">
        <v>10787</v>
      </c>
      <c r="K6" s="1">
        <v>2.3E-2</v>
      </c>
      <c r="L6" s="6">
        <v>5</v>
      </c>
    </row>
    <row r="7" spans="1:13" x14ac:dyDescent="0.35">
      <c r="A7" s="6" t="s">
        <v>39</v>
      </c>
      <c r="B7" s="6" t="s">
        <v>191</v>
      </c>
      <c r="C7" s="6" t="s">
        <v>190</v>
      </c>
      <c r="D7" s="6">
        <v>23572.93</v>
      </c>
      <c r="E7" s="6">
        <v>23572.93</v>
      </c>
      <c r="F7" s="6">
        <v>1683.78</v>
      </c>
      <c r="G7" s="6" t="s">
        <v>22</v>
      </c>
      <c r="H7" s="6" t="s">
        <v>22</v>
      </c>
      <c r="I7" s="6">
        <v>-0.625</v>
      </c>
      <c r="J7" s="6">
        <v>2611</v>
      </c>
      <c r="K7" s="1">
        <v>6.0000000000000001E-3</v>
      </c>
      <c r="L7" s="6">
        <v>6</v>
      </c>
    </row>
    <row r="8" spans="1:13" x14ac:dyDescent="0.35">
      <c r="A8" s="6" t="s">
        <v>23</v>
      </c>
      <c r="B8" s="6" t="s">
        <v>189</v>
      </c>
      <c r="C8" s="6" t="s">
        <v>188</v>
      </c>
      <c r="D8" s="6">
        <v>33142.840000000004</v>
      </c>
      <c r="E8" s="6">
        <v>33971.4</v>
      </c>
      <c r="F8" s="6">
        <v>1132.3800000000001</v>
      </c>
      <c r="G8" s="1">
        <v>2.5000000000000001E-2</v>
      </c>
      <c r="H8" s="1">
        <v>-0.20699999999999999</v>
      </c>
      <c r="I8" s="6" t="s">
        <v>15</v>
      </c>
      <c r="J8" s="6">
        <v>143</v>
      </c>
      <c r="K8" s="6" t="s">
        <v>22</v>
      </c>
      <c r="L8" s="6">
        <v>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96154-9C5D-49AE-86BF-8EB6B5D72856}">
  <dimension ref="A1:M16"/>
  <sheetViews>
    <sheetView topLeftCell="C1" workbookViewId="0">
      <selection activeCell="H13" sqref="H13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6" t="s">
        <v>58</v>
      </c>
      <c r="B2" s="6" t="s">
        <v>99</v>
      </c>
      <c r="C2" s="6" t="s">
        <v>119</v>
      </c>
      <c r="D2" s="6">
        <v>12932.77</v>
      </c>
      <c r="E2" s="6">
        <v>13320.76</v>
      </c>
      <c r="F2" s="6">
        <v>222.01</v>
      </c>
      <c r="G2" s="1">
        <v>0.03</v>
      </c>
      <c r="H2" s="1">
        <v>0.66</v>
      </c>
      <c r="I2" s="6" t="s">
        <v>15</v>
      </c>
      <c r="J2" s="6">
        <v>90748</v>
      </c>
      <c r="K2" s="1">
        <v>0.193</v>
      </c>
      <c r="L2" s="6">
        <v>1</v>
      </c>
    </row>
    <row r="3" spans="1:13" x14ac:dyDescent="0.35">
      <c r="A3" s="6" t="s">
        <v>58</v>
      </c>
      <c r="B3" s="6" t="s">
        <v>99</v>
      </c>
      <c r="C3" s="6" t="s">
        <v>120</v>
      </c>
      <c r="D3" s="6">
        <v>7845.32</v>
      </c>
      <c r="E3" s="6">
        <v>8080.68</v>
      </c>
      <c r="F3" s="6">
        <v>269.36</v>
      </c>
      <c r="G3" s="1">
        <v>0.03</v>
      </c>
      <c r="H3" s="1">
        <v>6.9999999999999993E-3</v>
      </c>
      <c r="I3" s="6" t="s">
        <v>15</v>
      </c>
      <c r="J3" s="6">
        <v>89203</v>
      </c>
      <c r="K3" s="1">
        <v>0.19</v>
      </c>
      <c r="L3" s="6">
        <v>2</v>
      </c>
    </row>
    <row r="4" spans="1:13" x14ac:dyDescent="0.35">
      <c r="A4" s="9" t="s">
        <v>28</v>
      </c>
      <c r="B4" s="9" t="s">
        <v>98</v>
      </c>
      <c r="C4" s="9" t="s">
        <v>122</v>
      </c>
      <c r="D4" s="9">
        <v>8337.0499999999993</v>
      </c>
      <c r="E4" s="9">
        <v>8542.56</v>
      </c>
      <c r="F4" s="9">
        <v>284.75</v>
      </c>
      <c r="G4" s="3">
        <v>2.5000000000000001E-2</v>
      </c>
      <c r="H4" s="3">
        <v>6.5000000000000002E-2</v>
      </c>
      <c r="I4" s="9">
        <v>-0.35899999999999999</v>
      </c>
      <c r="J4" s="9">
        <v>64305</v>
      </c>
      <c r="K4" s="3">
        <v>0.13699999999999998</v>
      </c>
      <c r="L4" s="9">
        <v>3</v>
      </c>
    </row>
    <row r="5" spans="1:13" x14ac:dyDescent="0.35">
      <c r="A5" s="9" t="s">
        <v>28</v>
      </c>
      <c r="B5" s="9" t="s">
        <v>98</v>
      </c>
      <c r="C5" s="9" t="s">
        <v>118</v>
      </c>
      <c r="D5" s="9">
        <v>8100.67</v>
      </c>
      <c r="E5" s="9">
        <v>8300.35</v>
      </c>
      <c r="F5" s="9">
        <v>296.44</v>
      </c>
      <c r="G5" s="3">
        <v>2.5000000000000001E-2</v>
      </c>
      <c r="H5" s="3">
        <v>3.4000000000000002E-2</v>
      </c>
      <c r="I5" s="9">
        <v>-0.377</v>
      </c>
      <c r="J5" s="9">
        <v>57414</v>
      </c>
      <c r="K5" s="3">
        <v>0.122</v>
      </c>
      <c r="L5" s="9">
        <v>4</v>
      </c>
    </row>
    <row r="6" spans="1:13" x14ac:dyDescent="0.35">
      <c r="A6" s="7" t="s">
        <v>39</v>
      </c>
      <c r="B6" s="7" t="s">
        <v>96</v>
      </c>
      <c r="C6" s="7" t="s">
        <v>120</v>
      </c>
      <c r="D6" s="7">
        <v>8024.92</v>
      </c>
      <c r="E6" s="7">
        <v>8024.92</v>
      </c>
      <c r="F6" s="7">
        <v>267.5</v>
      </c>
      <c r="G6" s="7" t="s">
        <v>22</v>
      </c>
      <c r="H6" s="7" t="s">
        <v>22</v>
      </c>
      <c r="I6" s="7">
        <v>-0.39799999999999996</v>
      </c>
      <c r="J6" s="7">
        <v>48736</v>
      </c>
      <c r="K6" s="5">
        <v>0.10400000000000001</v>
      </c>
      <c r="L6" s="7">
        <v>5</v>
      </c>
      <c r="M6" s="8">
        <f>+F4/F6-1</f>
        <v>6.4485981308411322E-2</v>
      </c>
    </row>
    <row r="7" spans="1:13" x14ac:dyDescent="0.35">
      <c r="A7" s="6" t="s">
        <v>28</v>
      </c>
      <c r="B7" s="6" t="s">
        <v>98</v>
      </c>
      <c r="C7" s="6" t="s">
        <v>121</v>
      </c>
      <c r="D7" s="6">
        <v>13614.99</v>
      </c>
      <c r="E7" s="6">
        <v>13950.6</v>
      </c>
      <c r="F7" s="6">
        <v>232.51</v>
      </c>
      <c r="G7" s="1">
        <v>2.5000000000000001E-2</v>
      </c>
      <c r="H7" s="1">
        <v>0.73799999999999999</v>
      </c>
      <c r="I7" s="6">
        <v>4.7E-2</v>
      </c>
      <c r="J7" s="6">
        <v>39401</v>
      </c>
      <c r="K7" s="1">
        <v>8.4000000000000005E-2</v>
      </c>
      <c r="L7" s="6">
        <v>6</v>
      </c>
    </row>
    <row r="8" spans="1:13" x14ac:dyDescent="0.35">
      <c r="A8" s="6" t="s">
        <v>16</v>
      </c>
      <c r="B8" s="6" t="s">
        <v>92</v>
      </c>
      <c r="C8" s="6" t="s">
        <v>124</v>
      </c>
      <c r="D8" s="6">
        <v>12702.94</v>
      </c>
      <c r="E8" s="6">
        <v>13071.33</v>
      </c>
      <c r="F8" s="6">
        <v>233.42</v>
      </c>
      <c r="G8" s="1">
        <v>2.8999999999999998E-2</v>
      </c>
      <c r="H8" s="1">
        <v>0.629</v>
      </c>
      <c r="I8" s="6">
        <v>-1.9E-2</v>
      </c>
      <c r="J8" s="6">
        <v>15380</v>
      </c>
      <c r="K8" s="1">
        <v>3.3000000000000002E-2</v>
      </c>
      <c r="L8" s="6">
        <v>7</v>
      </c>
    </row>
    <row r="9" spans="1:13" x14ac:dyDescent="0.35">
      <c r="A9" s="6" t="s">
        <v>16</v>
      </c>
      <c r="B9" s="6" t="s">
        <v>92</v>
      </c>
      <c r="C9" s="6" t="s">
        <v>123</v>
      </c>
      <c r="D9" s="6">
        <v>7727.5</v>
      </c>
      <c r="E9" s="6">
        <v>7951.6</v>
      </c>
      <c r="F9" s="6">
        <v>283.99</v>
      </c>
      <c r="G9" s="1">
        <v>2.8999999999999998E-2</v>
      </c>
      <c r="H9" s="1">
        <v>-9.0000000000000011E-3</v>
      </c>
      <c r="I9" s="6">
        <v>-0.40299999999999997</v>
      </c>
      <c r="J9" s="6">
        <v>14514</v>
      </c>
      <c r="K9" s="1">
        <v>3.1E-2</v>
      </c>
      <c r="L9" s="6">
        <v>8</v>
      </c>
    </row>
    <row r="10" spans="1:13" x14ac:dyDescent="0.35">
      <c r="A10" s="7" t="s">
        <v>39</v>
      </c>
      <c r="B10" s="7" t="s">
        <v>96</v>
      </c>
      <c r="C10" s="7" t="s">
        <v>123</v>
      </c>
      <c r="D10" s="7">
        <v>8027.01</v>
      </c>
      <c r="E10" s="7">
        <v>8027.01</v>
      </c>
      <c r="F10" s="7">
        <v>286.68</v>
      </c>
      <c r="G10" s="7" t="s">
        <v>22</v>
      </c>
      <c r="H10" s="7" t="s">
        <v>22</v>
      </c>
      <c r="I10" s="7">
        <v>-0.39700000000000002</v>
      </c>
      <c r="J10" s="7">
        <v>14496</v>
      </c>
      <c r="K10" s="5">
        <v>3.1E-2</v>
      </c>
      <c r="L10" s="7">
        <v>9</v>
      </c>
      <c r="M10" s="8">
        <f>+F5/F10-1</f>
        <v>3.4044928142876962E-2</v>
      </c>
    </row>
    <row r="11" spans="1:13" x14ac:dyDescent="0.35">
      <c r="A11" s="6" t="s">
        <v>25</v>
      </c>
      <c r="B11" s="6" t="s">
        <v>95</v>
      </c>
      <c r="C11" s="6" t="s">
        <v>122</v>
      </c>
      <c r="D11" s="6">
        <v>8844.6</v>
      </c>
      <c r="E11" s="6">
        <v>9092.25</v>
      </c>
      <c r="F11" s="6">
        <v>303.07</v>
      </c>
      <c r="G11" s="1">
        <v>2.7999999999999997E-2</v>
      </c>
      <c r="H11" s="1">
        <v>0.13300000000000001</v>
      </c>
      <c r="I11" s="6">
        <v>-0.317</v>
      </c>
      <c r="J11" s="6">
        <v>10887</v>
      </c>
      <c r="K11" s="1">
        <v>2.3E-2</v>
      </c>
      <c r="L11" s="6">
        <v>10</v>
      </c>
    </row>
    <row r="12" spans="1:13" x14ac:dyDescent="0.35">
      <c r="A12" s="6" t="s">
        <v>23</v>
      </c>
      <c r="B12" s="6" t="s">
        <v>97</v>
      </c>
      <c r="C12" s="6" t="s">
        <v>122</v>
      </c>
      <c r="D12" s="6">
        <v>7547.1</v>
      </c>
      <c r="E12" s="6">
        <v>7788.6100000000006</v>
      </c>
      <c r="F12" s="6">
        <v>259.62</v>
      </c>
      <c r="G12" s="1">
        <v>3.2000000000000001E-2</v>
      </c>
      <c r="H12" s="1">
        <v>-2.8999999999999998E-2</v>
      </c>
      <c r="I12" s="6">
        <v>-0.41499999999999998</v>
      </c>
      <c r="J12" s="6">
        <v>9042</v>
      </c>
      <c r="K12" s="1">
        <v>1.9E-2</v>
      </c>
      <c r="L12" s="6">
        <v>11</v>
      </c>
    </row>
    <row r="13" spans="1:13" x14ac:dyDescent="0.35">
      <c r="A13" s="6" t="s">
        <v>23</v>
      </c>
      <c r="B13" s="6" t="s">
        <v>97</v>
      </c>
      <c r="C13" s="6" t="s">
        <v>121</v>
      </c>
      <c r="D13" s="6">
        <v>12208.35</v>
      </c>
      <c r="E13" s="6">
        <v>12599.03</v>
      </c>
      <c r="F13" s="6">
        <v>209.98</v>
      </c>
      <c r="G13" s="1">
        <v>3.2000000000000001E-2</v>
      </c>
      <c r="H13" s="1">
        <v>0.56999999999999995</v>
      </c>
      <c r="I13" s="6">
        <v>-5.4000000000000006E-2</v>
      </c>
      <c r="J13" s="6">
        <v>7579</v>
      </c>
      <c r="K13" s="1">
        <v>1.6E-2</v>
      </c>
      <c r="L13" s="6">
        <v>12</v>
      </c>
    </row>
    <row r="14" spans="1:13" x14ac:dyDescent="0.35">
      <c r="A14" s="6" t="s">
        <v>16</v>
      </c>
      <c r="B14" s="6" t="s">
        <v>92</v>
      </c>
      <c r="C14" s="6" t="s">
        <v>120</v>
      </c>
      <c r="D14" s="6">
        <v>7721.28</v>
      </c>
      <c r="E14" s="6">
        <v>7945.2</v>
      </c>
      <c r="F14" s="6">
        <v>264.83999999999997</v>
      </c>
      <c r="G14" s="1">
        <v>2.8999999999999998E-2</v>
      </c>
      <c r="H14" s="1">
        <v>-0.01</v>
      </c>
      <c r="I14" s="6">
        <v>-0.40399999999999997</v>
      </c>
      <c r="J14" s="6">
        <v>4278</v>
      </c>
      <c r="K14" s="1">
        <v>9.0000000000000011E-3</v>
      </c>
      <c r="L14" s="6">
        <v>13</v>
      </c>
    </row>
    <row r="15" spans="1:13" x14ac:dyDescent="0.35">
      <c r="A15" s="6" t="s">
        <v>16</v>
      </c>
      <c r="B15" s="6" t="s">
        <v>92</v>
      </c>
      <c r="C15" s="6" t="s">
        <v>119</v>
      </c>
      <c r="D15" s="6">
        <v>12668.52</v>
      </c>
      <c r="E15" s="6">
        <v>13035.91</v>
      </c>
      <c r="F15" s="6">
        <v>217.27</v>
      </c>
      <c r="G15" s="1">
        <v>2.8999999999999998E-2</v>
      </c>
      <c r="H15" s="1">
        <v>0.624</v>
      </c>
      <c r="I15" s="6">
        <v>-2.1000000000000001E-2</v>
      </c>
      <c r="J15" s="6">
        <v>3450</v>
      </c>
      <c r="K15" s="1">
        <v>6.9999999999999993E-3</v>
      </c>
      <c r="L15" s="6">
        <v>14</v>
      </c>
    </row>
    <row r="16" spans="1:13" x14ac:dyDescent="0.35">
      <c r="A16" s="6" t="s">
        <v>88</v>
      </c>
      <c r="B16" s="6" t="s">
        <v>87</v>
      </c>
      <c r="C16" s="6" t="s">
        <v>118</v>
      </c>
      <c r="D16" s="6">
        <v>7160</v>
      </c>
      <c r="E16" s="6">
        <v>7300</v>
      </c>
      <c r="F16" s="6">
        <v>260.70999999999998</v>
      </c>
      <c r="G16" s="1">
        <v>0.02</v>
      </c>
      <c r="H16" s="1">
        <v>-0.09</v>
      </c>
      <c r="I16" s="6">
        <v>-0.45200000000000001</v>
      </c>
      <c r="J16" s="6">
        <v>82</v>
      </c>
      <c r="K16" s="6" t="s">
        <v>22</v>
      </c>
      <c r="L16" s="6">
        <v>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3DE5B-0B8E-4325-AB4D-7FAEFF69DBC2}">
  <dimension ref="A1:M36"/>
  <sheetViews>
    <sheetView topLeftCell="B1" workbookViewId="0">
      <selection activeCell="B10" sqref="B10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6" t="s">
        <v>58</v>
      </c>
      <c r="B2" s="6" t="s">
        <v>99</v>
      </c>
      <c r="C2" s="6" t="s">
        <v>140</v>
      </c>
      <c r="D2" s="6">
        <v>14482.34</v>
      </c>
      <c r="E2" s="6">
        <v>14916.81</v>
      </c>
      <c r="F2" s="6">
        <v>497.23</v>
      </c>
      <c r="G2" s="1">
        <v>0.03</v>
      </c>
      <c r="H2" s="1">
        <v>-2.1000000000000001E-2</v>
      </c>
      <c r="I2" s="6" t="s">
        <v>15</v>
      </c>
      <c r="J2" s="6">
        <v>208220</v>
      </c>
      <c r="K2" s="1">
        <v>0.16</v>
      </c>
      <c r="L2" s="6">
        <v>1</v>
      </c>
    </row>
    <row r="3" spans="1:13" x14ac:dyDescent="0.35">
      <c r="A3" s="6" t="s">
        <v>58</v>
      </c>
      <c r="B3" s="6" t="s">
        <v>99</v>
      </c>
      <c r="C3" s="6" t="s">
        <v>142</v>
      </c>
      <c r="D3" s="6">
        <v>23332.59</v>
      </c>
      <c r="E3" s="6">
        <v>24032.560000000001</v>
      </c>
      <c r="F3" s="6">
        <v>400.54</v>
      </c>
      <c r="G3" s="1">
        <v>0.03</v>
      </c>
      <c r="H3" s="1">
        <v>0.57700000000000007</v>
      </c>
      <c r="I3" s="6" t="s">
        <v>15</v>
      </c>
      <c r="J3" s="6">
        <v>181343</v>
      </c>
      <c r="K3" s="1">
        <v>0.13900000000000001</v>
      </c>
      <c r="L3" s="6">
        <v>2</v>
      </c>
    </row>
    <row r="4" spans="1:13" x14ac:dyDescent="0.35">
      <c r="A4" s="9" t="s">
        <v>28</v>
      </c>
      <c r="B4" s="9" t="s">
        <v>98</v>
      </c>
      <c r="C4" s="9" t="s">
        <v>135</v>
      </c>
      <c r="D4" s="9">
        <v>15246.16</v>
      </c>
      <c r="E4" s="9">
        <v>15621.98</v>
      </c>
      <c r="F4" s="9">
        <v>520.73</v>
      </c>
      <c r="G4" s="3">
        <v>2.5000000000000001E-2</v>
      </c>
      <c r="H4" s="3">
        <v>2.5000000000000001E-2</v>
      </c>
      <c r="I4" s="9">
        <v>-0.35</v>
      </c>
      <c r="J4" s="9">
        <v>144972</v>
      </c>
      <c r="K4" s="3">
        <v>0.111</v>
      </c>
      <c r="L4" s="9">
        <v>3</v>
      </c>
    </row>
    <row r="5" spans="1:13" x14ac:dyDescent="0.35">
      <c r="A5" s="6" t="s">
        <v>23</v>
      </c>
      <c r="B5" s="6" t="s">
        <v>97</v>
      </c>
      <c r="C5" s="6" t="s">
        <v>135</v>
      </c>
      <c r="D5" s="6">
        <v>13938.380000000001</v>
      </c>
      <c r="E5" s="6">
        <v>14384.41</v>
      </c>
      <c r="F5" s="6">
        <v>479.48</v>
      </c>
      <c r="G5" s="1">
        <v>3.2000000000000001E-2</v>
      </c>
      <c r="H5" s="1">
        <v>-5.5999999999999994E-2</v>
      </c>
      <c r="I5" s="6">
        <v>-0.40100000000000002</v>
      </c>
      <c r="J5" s="6">
        <v>115121</v>
      </c>
      <c r="K5" s="1">
        <v>8.8000000000000009E-2</v>
      </c>
      <c r="L5" s="6">
        <v>4</v>
      </c>
    </row>
    <row r="6" spans="1:13" x14ac:dyDescent="0.35">
      <c r="A6" s="7" t="s">
        <v>39</v>
      </c>
      <c r="B6" s="7" t="s">
        <v>96</v>
      </c>
      <c r="C6" s="7" t="s">
        <v>140</v>
      </c>
      <c r="D6" s="7">
        <v>15238.83</v>
      </c>
      <c r="E6" s="7">
        <v>15238.83</v>
      </c>
      <c r="F6" s="7">
        <v>507.96</v>
      </c>
      <c r="G6" s="7" t="s">
        <v>22</v>
      </c>
      <c r="H6" s="7" t="s">
        <v>22</v>
      </c>
      <c r="I6" s="7">
        <v>-0.36599999999999999</v>
      </c>
      <c r="J6" s="7">
        <v>113933</v>
      </c>
      <c r="K6" s="5">
        <v>8.8000000000000009E-2</v>
      </c>
      <c r="L6" s="7">
        <v>5</v>
      </c>
      <c r="M6" s="8">
        <f>+F4/F6-1</f>
        <v>2.5139774785416291E-2</v>
      </c>
    </row>
    <row r="7" spans="1:13" x14ac:dyDescent="0.35">
      <c r="A7" s="9" t="s">
        <v>28</v>
      </c>
      <c r="B7" s="9" t="s">
        <v>98</v>
      </c>
      <c r="C7" s="9" t="s">
        <v>130</v>
      </c>
      <c r="D7" s="9">
        <v>15693.79</v>
      </c>
      <c r="E7" s="9">
        <v>16080.640000000001</v>
      </c>
      <c r="F7" s="9">
        <v>574.30999999999995</v>
      </c>
      <c r="G7" s="3">
        <v>2.5000000000000001E-2</v>
      </c>
      <c r="H7" s="3">
        <v>5.5E-2</v>
      </c>
      <c r="I7" s="9">
        <v>-0.33100000000000002</v>
      </c>
      <c r="J7" s="9">
        <v>113137</v>
      </c>
      <c r="K7" s="3">
        <v>8.6999999999999994E-2</v>
      </c>
      <c r="L7" s="9">
        <v>6</v>
      </c>
      <c r="M7" s="8"/>
    </row>
    <row r="8" spans="1:13" x14ac:dyDescent="0.35">
      <c r="A8" s="6" t="s">
        <v>23</v>
      </c>
      <c r="B8" s="6" t="s">
        <v>97</v>
      </c>
      <c r="C8" s="6" t="s">
        <v>134</v>
      </c>
      <c r="D8" s="6">
        <v>21816.170000000002</v>
      </c>
      <c r="E8" s="6">
        <v>22514.29</v>
      </c>
      <c r="F8" s="6">
        <v>375.24</v>
      </c>
      <c r="G8" s="1">
        <v>3.2000000000000001E-2</v>
      </c>
      <c r="H8" s="1">
        <v>0.47700000000000004</v>
      </c>
      <c r="I8" s="6">
        <v>-6.3E-2</v>
      </c>
      <c r="J8" s="6">
        <v>73678</v>
      </c>
      <c r="K8" s="1">
        <v>5.7000000000000002E-2</v>
      </c>
      <c r="L8" s="6">
        <v>7</v>
      </c>
    </row>
    <row r="9" spans="1:13" x14ac:dyDescent="0.35">
      <c r="A9" s="9" t="s">
        <v>28</v>
      </c>
      <c r="B9" s="9" t="s">
        <v>98</v>
      </c>
      <c r="C9" s="9" t="s">
        <v>134</v>
      </c>
      <c r="D9" s="9">
        <v>24563.48</v>
      </c>
      <c r="E9" s="9">
        <v>25168.97</v>
      </c>
      <c r="F9" s="9">
        <v>419.48</v>
      </c>
      <c r="G9" s="3">
        <v>2.5000000000000001E-2</v>
      </c>
      <c r="H9" s="3">
        <v>0.65200000000000002</v>
      </c>
      <c r="I9" s="9">
        <v>4.7E-2</v>
      </c>
      <c r="J9" s="9">
        <v>73012</v>
      </c>
      <c r="K9" s="3">
        <v>5.5999999999999994E-2</v>
      </c>
      <c r="L9" s="9">
        <v>8</v>
      </c>
    </row>
    <row r="10" spans="1:13" x14ac:dyDescent="0.35">
      <c r="A10" s="7" t="s">
        <v>39</v>
      </c>
      <c r="B10" s="7" t="s">
        <v>96</v>
      </c>
      <c r="C10" s="7" t="s">
        <v>143</v>
      </c>
      <c r="D10" s="7">
        <v>23567.88</v>
      </c>
      <c r="E10" s="7">
        <v>23567.88</v>
      </c>
      <c r="F10" s="7">
        <v>420.86</v>
      </c>
      <c r="G10" s="7" t="s">
        <v>22</v>
      </c>
      <c r="H10" s="7" t="s">
        <v>22</v>
      </c>
      <c r="I10" s="7">
        <v>-1.9E-2</v>
      </c>
      <c r="J10" s="7">
        <v>61796</v>
      </c>
      <c r="K10" s="5">
        <v>4.7E-2</v>
      </c>
      <c r="L10" s="7">
        <v>9</v>
      </c>
      <c r="M10" s="10">
        <f>+F9/F10-1</f>
        <v>-3.2790001425652138E-3</v>
      </c>
    </row>
    <row r="11" spans="1:13" x14ac:dyDescent="0.35">
      <c r="A11" s="6" t="s">
        <v>16</v>
      </c>
      <c r="B11" s="6" t="s">
        <v>92</v>
      </c>
      <c r="C11" s="6" t="s">
        <v>133</v>
      </c>
      <c r="D11" s="6">
        <v>14471.57</v>
      </c>
      <c r="E11" s="6">
        <v>14891.24</v>
      </c>
      <c r="F11" s="6">
        <v>531.83000000000004</v>
      </c>
      <c r="G11" s="1">
        <v>2.8999999999999998E-2</v>
      </c>
      <c r="H11" s="1">
        <v>-2.3E-2</v>
      </c>
      <c r="I11" s="6">
        <v>-0.38</v>
      </c>
      <c r="J11" s="6">
        <v>41819</v>
      </c>
      <c r="K11" s="1">
        <v>3.2000000000000001E-2</v>
      </c>
      <c r="L11" s="6">
        <v>10</v>
      </c>
    </row>
    <row r="12" spans="1:13" x14ac:dyDescent="0.35">
      <c r="A12" s="6" t="s">
        <v>16</v>
      </c>
      <c r="B12" s="6" t="s">
        <v>92</v>
      </c>
      <c r="C12" s="6" t="s">
        <v>143</v>
      </c>
      <c r="D12" s="6">
        <v>22049.96</v>
      </c>
      <c r="E12" s="6">
        <v>22689.41</v>
      </c>
      <c r="F12" s="6">
        <v>405.17</v>
      </c>
      <c r="G12" s="1">
        <v>2.8999999999999998E-2</v>
      </c>
      <c r="H12" s="1">
        <v>0.48899999999999999</v>
      </c>
      <c r="I12" s="6">
        <v>-5.5999999999999994E-2</v>
      </c>
      <c r="J12" s="6">
        <v>41199</v>
      </c>
      <c r="K12" s="1">
        <v>3.2000000000000001E-2</v>
      </c>
      <c r="L12" s="6">
        <v>11</v>
      </c>
    </row>
    <row r="13" spans="1:13" x14ac:dyDescent="0.35">
      <c r="A13" s="7" t="s">
        <v>39</v>
      </c>
      <c r="B13" s="7" t="s">
        <v>96</v>
      </c>
      <c r="C13" s="7" t="s">
        <v>133</v>
      </c>
      <c r="D13" s="7">
        <v>15237.31</v>
      </c>
      <c r="E13" s="7">
        <v>15237.31</v>
      </c>
      <c r="F13" s="7">
        <v>544.19000000000005</v>
      </c>
      <c r="G13" s="7" t="s">
        <v>22</v>
      </c>
      <c r="H13" s="7" t="s">
        <v>22</v>
      </c>
      <c r="I13" s="7">
        <v>-0.36599999999999999</v>
      </c>
      <c r="J13" s="7">
        <v>40571</v>
      </c>
      <c r="K13" s="5">
        <v>3.1E-2</v>
      </c>
      <c r="L13" s="7">
        <v>12</v>
      </c>
      <c r="M13" s="8">
        <f>+F7/F13-1</f>
        <v>5.5348315845568541E-2</v>
      </c>
    </row>
    <row r="14" spans="1:13" x14ac:dyDescent="0.35">
      <c r="A14" s="6" t="s">
        <v>25</v>
      </c>
      <c r="B14" s="6" t="s">
        <v>95</v>
      </c>
      <c r="C14" s="6" t="s">
        <v>135</v>
      </c>
      <c r="D14" s="6">
        <v>16592.510000000002</v>
      </c>
      <c r="E14" s="6">
        <v>17057.099999999999</v>
      </c>
      <c r="F14" s="6">
        <v>568.57000000000005</v>
      </c>
      <c r="G14" s="1">
        <v>2.7999999999999997E-2</v>
      </c>
      <c r="H14" s="1">
        <v>0.11900000000000001</v>
      </c>
      <c r="I14" s="6">
        <v>-0.28999999999999998</v>
      </c>
      <c r="J14" s="6">
        <v>36521</v>
      </c>
      <c r="K14" s="1">
        <v>2.7999999999999997E-2</v>
      </c>
      <c r="L14" s="6">
        <v>13</v>
      </c>
    </row>
    <row r="15" spans="1:13" x14ac:dyDescent="0.35">
      <c r="A15" s="6" t="s">
        <v>16</v>
      </c>
      <c r="B15" s="6" t="s">
        <v>92</v>
      </c>
      <c r="C15" s="6" t="s">
        <v>140</v>
      </c>
      <c r="D15" s="6">
        <v>14149.24</v>
      </c>
      <c r="E15" s="6">
        <v>14559.57</v>
      </c>
      <c r="F15" s="6">
        <v>485.32</v>
      </c>
      <c r="G15" s="1">
        <v>2.8999999999999998E-2</v>
      </c>
      <c r="H15" s="1">
        <v>-4.4999999999999998E-2</v>
      </c>
      <c r="I15" s="6">
        <v>-0.39399999999999996</v>
      </c>
      <c r="J15" s="6">
        <v>9867</v>
      </c>
      <c r="K15" s="1">
        <v>8.0000000000000002E-3</v>
      </c>
      <c r="L15" s="6">
        <v>14</v>
      </c>
    </row>
    <row r="16" spans="1:13" x14ac:dyDescent="0.35">
      <c r="A16" s="6" t="s">
        <v>66</v>
      </c>
      <c r="B16" s="6" t="s">
        <v>65</v>
      </c>
      <c r="C16" s="6" t="s">
        <v>130</v>
      </c>
      <c r="D16" s="6">
        <v>10983.45</v>
      </c>
      <c r="E16" s="6">
        <v>10983.45</v>
      </c>
      <c r="F16" s="6">
        <v>392.27</v>
      </c>
      <c r="G16" s="6" t="s">
        <v>22</v>
      </c>
      <c r="H16" s="1">
        <v>-0.27899999999999997</v>
      </c>
      <c r="I16" s="6">
        <v>-0.54299999999999993</v>
      </c>
      <c r="J16" s="6">
        <v>8938</v>
      </c>
      <c r="K16" s="1">
        <v>6.9999999999999993E-3</v>
      </c>
      <c r="L16" s="6">
        <v>15</v>
      </c>
    </row>
    <row r="17" spans="1:12" x14ac:dyDescent="0.35">
      <c r="A17" s="6" t="s">
        <v>16</v>
      </c>
      <c r="B17" s="6" t="s">
        <v>92</v>
      </c>
      <c r="C17" s="6" t="s">
        <v>142</v>
      </c>
      <c r="D17" s="6">
        <v>22343.64</v>
      </c>
      <c r="E17" s="6">
        <v>22991.600000000002</v>
      </c>
      <c r="F17" s="6">
        <v>383.19</v>
      </c>
      <c r="G17" s="1">
        <v>2.8999999999999998E-2</v>
      </c>
      <c r="H17" s="1">
        <v>0.50900000000000001</v>
      </c>
      <c r="I17" s="6">
        <v>-4.2999999999999997E-2</v>
      </c>
      <c r="J17" s="6">
        <v>7545</v>
      </c>
      <c r="K17" s="1">
        <v>6.0000000000000001E-3</v>
      </c>
      <c r="L17" s="6">
        <v>16</v>
      </c>
    </row>
    <row r="18" spans="1:12" x14ac:dyDescent="0.35">
      <c r="A18" s="6" t="s">
        <v>90</v>
      </c>
      <c r="B18" s="6" t="s">
        <v>89</v>
      </c>
      <c r="C18" s="6" t="s">
        <v>130</v>
      </c>
      <c r="D18" s="6">
        <v>12325.65</v>
      </c>
      <c r="E18" s="6">
        <v>12325.65</v>
      </c>
      <c r="F18" s="6">
        <v>440.2</v>
      </c>
      <c r="G18" s="6" t="s">
        <v>22</v>
      </c>
      <c r="H18" s="1">
        <v>-0.191</v>
      </c>
      <c r="I18" s="6">
        <v>-0.48700000000000004</v>
      </c>
      <c r="J18" s="6">
        <v>5284</v>
      </c>
      <c r="K18" s="1">
        <v>4.0000000000000001E-3</v>
      </c>
      <c r="L18" s="6">
        <v>17</v>
      </c>
    </row>
    <row r="19" spans="1:12" x14ac:dyDescent="0.35">
      <c r="A19" s="6" t="s">
        <v>41</v>
      </c>
      <c r="B19" s="6" t="s">
        <v>68</v>
      </c>
      <c r="C19" s="6" t="s">
        <v>130</v>
      </c>
      <c r="D19" s="6">
        <v>13583.300000000001</v>
      </c>
      <c r="E19" s="6">
        <v>13977.220000000001</v>
      </c>
      <c r="F19" s="6">
        <v>499.19</v>
      </c>
      <c r="G19" s="1">
        <v>2.8999999999999998E-2</v>
      </c>
      <c r="H19" s="1">
        <v>-8.3000000000000004E-2</v>
      </c>
      <c r="I19" s="6">
        <v>-0.41799999999999998</v>
      </c>
      <c r="J19" s="6">
        <v>3555</v>
      </c>
      <c r="K19" s="1">
        <v>3.0000000000000001E-3</v>
      </c>
      <c r="L19" s="6">
        <v>18</v>
      </c>
    </row>
    <row r="20" spans="1:12" x14ac:dyDescent="0.35">
      <c r="A20" s="6" t="s">
        <v>86</v>
      </c>
      <c r="B20" s="6" t="s">
        <v>85</v>
      </c>
      <c r="C20" s="6" t="s">
        <v>135</v>
      </c>
      <c r="D20" s="6">
        <v>11592.16</v>
      </c>
      <c r="E20" s="6">
        <v>11997.89</v>
      </c>
      <c r="F20" s="6">
        <v>399.93</v>
      </c>
      <c r="G20" s="1">
        <v>3.5000000000000003E-2</v>
      </c>
      <c r="H20" s="1">
        <v>-0.21299999999999999</v>
      </c>
      <c r="I20" s="6">
        <v>-0.501</v>
      </c>
      <c r="J20" s="6">
        <v>3544</v>
      </c>
      <c r="K20" s="1">
        <v>3.0000000000000001E-3</v>
      </c>
      <c r="L20" s="6">
        <v>19</v>
      </c>
    </row>
    <row r="21" spans="1:12" x14ac:dyDescent="0.35">
      <c r="A21" s="6" t="s">
        <v>88</v>
      </c>
      <c r="B21" s="6" t="s">
        <v>87</v>
      </c>
      <c r="C21" s="6" t="s">
        <v>133</v>
      </c>
      <c r="D21" s="6">
        <v>13840</v>
      </c>
      <c r="E21" s="6">
        <v>14120</v>
      </c>
      <c r="F21" s="6">
        <v>504.29</v>
      </c>
      <c r="G21" s="1">
        <v>0.02</v>
      </c>
      <c r="H21" s="1">
        <v>-7.2999999999999995E-2</v>
      </c>
      <c r="I21" s="6">
        <v>-0.41200000000000003</v>
      </c>
      <c r="J21" s="6">
        <v>3165</v>
      </c>
      <c r="K21" s="1">
        <v>2E-3</v>
      </c>
      <c r="L21" s="6">
        <v>20</v>
      </c>
    </row>
    <row r="22" spans="1:12" x14ac:dyDescent="0.35">
      <c r="A22" s="6" t="s">
        <v>66</v>
      </c>
      <c r="B22" s="6" t="s">
        <v>65</v>
      </c>
      <c r="C22" s="6" t="s">
        <v>135</v>
      </c>
      <c r="D22" s="6">
        <v>11677.78</v>
      </c>
      <c r="E22" s="6">
        <v>11677.78</v>
      </c>
      <c r="F22" s="6">
        <v>389.26</v>
      </c>
      <c r="G22" s="6" t="s">
        <v>22</v>
      </c>
      <c r="H22" s="1">
        <v>-0.23399999999999999</v>
      </c>
      <c r="I22" s="6">
        <v>-0.51400000000000001</v>
      </c>
      <c r="J22" s="6">
        <v>3106</v>
      </c>
      <c r="K22" s="1">
        <v>2E-3</v>
      </c>
      <c r="L22" s="6">
        <v>21</v>
      </c>
    </row>
    <row r="23" spans="1:12" x14ac:dyDescent="0.35">
      <c r="A23" s="6" t="s">
        <v>66</v>
      </c>
      <c r="B23" s="6" t="s">
        <v>65</v>
      </c>
      <c r="C23" s="6" t="s">
        <v>141</v>
      </c>
      <c r="D23" s="6">
        <v>20353.45</v>
      </c>
      <c r="E23" s="6">
        <v>20353.45</v>
      </c>
      <c r="F23" s="6">
        <v>363.45</v>
      </c>
      <c r="G23" s="6" t="s">
        <v>22</v>
      </c>
      <c r="H23" s="1">
        <v>0.33600000000000002</v>
      </c>
      <c r="I23" s="6">
        <v>-0.153</v>
      </c>
      <c r="J23" s="6">
        <v>3097</v>
      </c>
      <c r="K23" s="1">
        <v>2E-3</v>
      </c>
      <c r="L23" s="6">
        <v>22</v>
      </c>
    </row>
    <row r="24" spans="1:12" x14ac:dyDescent="0.35">
      <c r="A24" s="6" t="s">
        <v>84</v>
      </c>
      <c r="B24" s="6" t="s">
        <v>83</v>
      </c>
      <c r="C24" s="6" t="s">
        <v>130</v>
      </c>
      <c r="D24" s="6">
        <v>12453.58</v>
      </c>
      <c r="E24" s="6">
        <v>12453.58</v>
      </c>
      <c r="F24" s="6">
        <v>444.77</v>
      </c>
      <c r="G24" s="6" t="s">
        <v>22</v>
      </c>
      <c r="H24" s="1">
        <v>-0.183</v>
      </c>
      <c r="I24" s="6">
        <v>-0.48200000000000004</v>
      </c>
      <c r="J24" s="6">
        <v>2529</v>
      </c>
      <c r="K24" s="1">
        <v>2E-3</v>
      </c>
      <c r="L24" s="6">
        <v>23</v>
      </c>
    </row>
    <row r="25" spans="1:12" x14ac:dyDescent="0.35">
      <c r="A25" s="6" t="s">
        <v>72</v>
      </c>
      <c r="B25" s="6" t="s">
        <v>71</v>
      </c>
      <c r="C25" s="6" t="s">
        <v>140</v>
      </c>
      <c r="D25" s="6">
        <v>11907.24</v>
      </c>
      <c r="E25" s="6">
        <v>12204.92</v>
      </c>
      <c r="F25" s="6">
        <v>406.83</v>
      </c>
      <c r="G25" s="1">
        <v>2.5000000000000001E-2</v>
      </c>
      <c r="H25" s="1">
        <v>-0.19899999999999998</v>
      </c>
      <c r="I25" s="6">
        <v>-0.49200000000000005</v>
      </c>
      <c r="J25" s="6">
        <v>2271</v>
      </c>
      <c r="K25" s="1">
        <v>2E-3</v>
      </c>
      <c r="L25" s="6">
        <v>24</v>
      </c>
    </row>
    <row r="26" spans="1:12" x14ac:dyDescent="0.35">
      <c r="A26" s="6" t="s">
        <v>139</v>
      </c>
      <c r="B26" s="6" t="s">
        <v>138</v>
      </c>
      <c r="C26" s="6" t="s">
        <v>137</v>
      </c>
      <c r="D26" s="6" t="s">
        <v>22</v>
      </c>
      <c r="E26" s="6" t="s">
        <v>22</v>
      </c>
      <c r="F26" s="6" t="s">
        <v>22</v>
      </c>
      <c r="G26" s="6" t="s">
        <v>22</v>
      </c>
      <c r="H26" s="6" t="s">
        <v>22</v>
      </c>
      <c r="I26" s="6" t="s">
        <v>22</v>
      </c>
      <c r="J26" s="6">
        <v>1151</v>
      </c>
      <c r="K26" s="1">
        <v>1E-3</v>
      </c>
      <c r="L26" s="6">
        <v>25</v>
      </c>
    </row>
    <row r="27" spans="1:12" x14ac:dyDescent="0.35">
      <c r="A27" s="6" t="s">
        <v>75</v>
      </c>
      <c r="B27" s="6" t="s">
        <v>74</v>
      </c>
      <c r="C27" s="6" t="s">
        <v>130</v>
      </c>
      <c r="D27" s="6">
        <v>12516.07</v>
      </c>
      <c r="E27" s="6">
        <v>12516.07</v>
      </c>
      <c r="F27" s="6">
        <v>447</v>
      </c>
      <c r="G27" s="6" t="s">
        <v>22</v>
      </c>
      <c r="H27" s="1">
        <v>-0.17899999999999999</v>
      </c>
      <c r="I27" s="6">
        <v>-0.47899999999999998</v>
      </c>
      <c r="J27" s="6">
        <v>682</v>
      </c>
      <c r="K27" s="1">
        <v>1E-3</v>
      </c>
      <c r="L27" s="6">
        <v>26</v>
      </c>
    </row>
    <row r="28" spans="1:12" x14ac:dyDescent="0.35">
      <c r="A28" s="6" t="s">
        <v>78</v>
      </c>
      <c r="B28" s="6" t="s">
        <v>77</v>
      </c>
      <c r="C28" s="6" t="s">
        <v>135</v>
      </c>
      <c r="D28" s="6">
        <v>14549.78</v>
      </c>
      <c r="E28" s="6">
        <v>15131.77</v>
      </c>
      <c r="F28" s="6">
        <v>504.39</v>
      </c>
      <c r="G28" s="1">
        <v>0.04</v>
      </c>
      <c r="H28" s="1">
        <v>-6.9999999999999993E-3</v>
      </c>
      <c r="I28" s="6">
        <v>-0.37</v>
      </c>
      <c r="J28" s="6">
        <v>384</v>
      </c>
      <c r="K28" s="6" t="s">
        <v>22</v>
      </c>
      <c r="L28" s="6">
        <v>27</v>
      </c>
    </row>
    <row r="29" spans="1:12" x14ac:dyDescent="0.35">
      <c r="A29" s="6" t="s">
        <v>80</v>
      </c>
      <c r="B29" s="6" t="s">
        <v>79</v>
      </c>
      <c r="C29" s="6" t="s">
        <v>130</v>
      </c>
      <c r="D29" s="6">
        <v>13321.17</v>
      </c>
      <c r="E29" s="6">
        <v>13720.81</v>
      </c>
      <c r="F29" s="6">
        <v>490.03</v>
      </c>
      <c r="G29" s="1">
        <v>0.03</v>
      </c>
      <c r="H29" s="1">
        <v>-0.1</v>
      </c>
      <c r="I29" s="6">
        <v>-0.42899999999999999</v>
      </c>
      <c r="J29" s="6">
        <v>274</v>
      </c>
      <c r="K29" s="6" t="s">
        <v>22</v>
      </c>
      <c r="L29" s="6">
        <v>28</v>
      </c>
    </row>
    <row r="30" spans="1:12" x14ac:dyDescent="0.35">
      <c r="A30" s="6" t="s">
        <v>75</v>
      </c>
      <c r="B30" s="6" t="s">
        <v>74</v>
      </c>
      <c r="C30" s="6" t="s">
        <v>136</v>
      </c>
      <c r="D30" s="6">
        <v>13820.92</v>
      </c>
      <c r="E30" s="6">
        <v>14235.550000000001</v>
      </c>
      <c r="F30" s="6">
        <v>474.52</v>
      </c>
      <c r="G30" s="1">
        <v>0.03</v>
      </c>
      <c r="H30" s="1">
        <v>-6.6000000000000003E-2</v>
      </c>
      <c r="I30" s="6">
        <v>-0.40799999999999997</v>
      </c>
      <c r="J30" s="6">
        <v>225</v>
      </c>
      <c r="K30" s="6" t="s">
        <v>22</v>
      </c>
      <c r="L30" s="6">
        <v>29</v>
      </c>
    </row>
    <row r="31" spans="1:12" x14ac:dyDescent="0.35">
      <c r="A31" s="6" t="s">
        <v>61</v>
      </c>
      <c r="B31" s="6" t="s">
        <v>60</v>
      </c>
      <c r="C31" s="6" t="s">
        <v>135</v>
      </c>
      <c r="D31" s="6">
        <v>11198.52</v>
      </c>
      <c r="E31" s="6">
        <v>11198.52</v>
      </c>
      <c r="F31" s="6">
        <v>373.28</v>
      </c>
      <c r="G31" s="6" t="s">
        <v>22</v>
      </c>
      <c r="H31" s="1">
        <v>-0.26500000000000001</v>
      </c>
      <c r="I31" s="6">
        <v>-0.53400000000000003</v>
      </c>
      <c r="J31" s="6">
        <v>160</v>
      </c>
      <c r="K31" s="6" t="s">
        <v>22</v>
      </c>
      <c r="L31" s="6">
        <v>30</v>
      </c>
    </row>
    <row r="32" spans="1:12" x14ac:dyDescent="0.35">
      <c r="A32" s="6" t="s">
        <v>72</v>
      </c>
      <c r="B32" s="6" t="s">
        <v>71</v>
      </c>
      <c r="C32" s="6" t="s">
        <v>134</v>
      </c>
      <c r="D32" s="6">
        <v>20571.43</v>
      </c>
      <c r="E32" s="6">
        <v>21085.72</v>
      </c>
      <c r="F32" s="6">
        <v>351.43</v>
      </c>
      <c r="G32" s="1">
        <v>2.5000000000000001E-2</v>
      </c>
      <c r="H32" s="1">
        <v>0.38400000000000001</v>
      </c>
      <c r="I32" s="6">
        <v>-0.12300000000000001</v>
      </c>
      <c r="J32" s="6">
        <v>73</v>
      </c>
      <c r="K32" s="6" t="s">
        <v>22</v>
      </c>
      <c r="L32" s="6">
        <v>31</v>
      </c>
    </row>
    <row r="33" spans="1:12" x14ac:dyDescent="0.35">
      <c r="A33" s="6" t="s">
        <v>61</v>
      </c>
      <c r="B33" s="6" t="s">
        <v>60</v>
      </c>
      <c r="C33" s="6" t="s">
        <v>134</v>
      </c>
      <c r="D33" s="6">
        <v>14965.62</v>
      </c>
      <c r="E33" s="6">
        <v>14965.62</v>
      </c>
      <c r="F33" s="6">
        <v>249.43</v>
      </c>
      <c r="G33" s="6" t="s">
        <v>22</v>
      </c>
      <c r="H33" s="1">
        <v>-1.8000000000000002E-2</v>
      </c>
      <c r="I33" s="6">
        <v>-0.377</v>
      </c>
      <c r="J33" s="6">
        <v>21</v>
      </c>
      <c r="K33" s="6" t="s">
        <v>22</v>
      </c>
      <c r="L33" s="6">
        <v>32</v>
      </c>
    </row>
    <row r="34" spans="1:12" x14ac:dyDescent="0.35">
      <c r="A34" s="6" t="s">
        <v>66</v>
      </c>
      <c r="B34" s="6" t="s">
        <v>65</v>
      </c>
      <c r="C34" s="6" t="s">
        <v>134</v>
      </c>
      <c r="D34" s="6">
        <v>20740.189999999999</v>
      </c>
      <c r="E34" s="6">
        <v>20740.189999999999</v>
      </c>
      <c r="F34" s="6">
        <v>345.67</v>
      </c>
      <c r="G34" s="6" t="s">
        <v>22</v>
      </c>
      <c r="H34" s="1">
        <v>0.36099999999999999</v>
      </c>
      <c r="I34" s="6">
        <v>-0.13699999999999998</v>
      </c>
      <c r="J34" s="6">
        <v>20</v>
      </c>
      <c r="K34" s="6" t="s">
        <v>22</v>
      </c>
      <c r="L34" s="6">
        <v>33</v>
      </c>
    </row>
    <row r="35" spans="1:12" x14ac:dyDescent="0.35">
      <c r="A35" s="6" t="s">
        <v>35</v>
      </c>
      <c r="B35" s="6" t="s">
        <v>70</v>
      </c>
      <c r="C35" s="6" t="s">
        <v>133</v>
      </c>
      <c r="D35" s="6">
        <v>11388.54</v>
      </c>
      <c r="E35" s="6">
        <v>11718.81</v>
      </c>
      <c r="F35" s="6">
        <v>418.53</v>
      </c>
      <c r="G35" s="1">
        <v>2.8999999999999998E-2</v>
      </c>
      <c r="H35" s="1">
        <v>-0.23100000000000001</v>
      </c>
      <c r="I35" s="6">
        <v>-0.51200000000000001</v>
      </c>
      <c r="J35" s="6">
        <v>3</v>
      </c>
      <c r="K35" s="6" t="s">
        <v>22</v>
      </c>
      <c r="L35" s="6">
        <v>34</v>
      </c>
    </row>
    <row r="36" spans="1:12" x14ac:dyDescent="0.35">
      <c r="A36" s="6" t="s">
        <v>132</v>
      </c>
      <c r="B36" s="6" t="s">
        <v>131</v>
      </c>
      <c r="C36" s="6" t="s">
        <v>130</v>
      </c>
      <c r="D36" s="6">
        <v>4259.58</v>
      </c>
      <c r="E36" s="6">
        <v>4259.58</v>
      </c>
      <c r="F36" s="6">
        <v>152.13</v>
      </c>
      <c r="G36" s="6" t="s">
        <v>22</v>
      </c>
      <c r="H36" s="1">
        <v>-0.72</v>
      </c>
      <c r="I36" s="6">
        <v>-0.82299999999999995</v>
      </c>
      <c r="J36" s="6">
        <v>1</v>
      </c>
      <c r="K36" s="6" t="s">
        <v>22</v>
      </c>
      <c r="L36" s="6">
        <v>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71965-B4F9-4F2F-A189-4D0851510E57}">
  <dimension ref="A1:M36"/>
  <sheetViews>
    <sheetView topLeftCell="B1" workbookViewId="0"/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6" t="s">
        <v>58</v>
      </c>
      <c r="B2" s="6" t="s">
        <v>99</v>
      </c>
      <c r="C2" s="6" t="s">
        <v>93</v>
      </c>
      <c r="D2" s="6">
        <v>17781.170000000002</v>
      </c>
      <c r="E2" s="6">
        <v>18314.61</v>
      </c>
      <c r="F2" s="6">
        <v>610.49</v>
      </c>
      <c r="G2" s="1">
        <v>0.03</v>
      </c>
      <c r="H2" s="1">
        <v>-2.7999999999999997E-2</v>
      </c>
      <c r="I2" s="6">
        <v>-0.41200000000000003</v>
      </c>
      <c r="J2" s="6">
        <v>226396</v>
      </c>
      <c r="K2" s="1">
        <v>0.152</v>
      </c>
      <c r="L2" s="6">
        <v>1</v>
      </c>
    </row>
    <row r="3" spans="1:13" x14ac:dyDescent="0.35">
      <c r="A3" s="6" t="s">
        <v>28</v>
      </c>
      <c r="B3" s="9" t="s">
        <v>98</v>
      </c>
      <c r="C3" s="9" t="s">
        <v>76</v>
      </c>
      <c r="D3" s="9">
        <v>19155.05</v>
      </c>
      <c r="E3" s="9">
        <v>19627.23</v>
      </c>
      <c r="F3" s="9">
        <v>654.24</v>
      </c>
      <c r="G3" s="3">
        <v>2.5000000000000001E-2</v>
      </c>
      <c r="H3" s="3">
        <v>4.0999999999999995E-2</v>
      </c>
      <c r="I3" s="9" t="s">
        <v>15</v>
      </c>
      <c r="J3" s="9">
        <v>181207</v>
      </c>
      <c r="K3" s="3">
        <v>0.122</v>
      </c>
      <c r="L3" s="9">
        <v>2</v>
      </c>
      <c r="M3" s="8"/>
    </row>
    <row r="4" spans="1:13" x14ac:dyDescent="0.35">
      <c r="A4" s="6" t="s">
        <v>58</v>
      </c>
      <c r="B4" s="6" t="s">
        <v>99</v>
      </c>
      <c r="C4" s="6" t="s">
        <v>91</v>
      </c>
      <c r="D4" s="6">
        <v>28618.81</v>
      </c>
      <c r="E4" s="6">
        <v>29477.37</v>
      </c>
      <c r="F4" s="6">
        <v>491.29</v>
      </c>
      <c r="G4" s="1">
        <v>0.03</v>
      </c>
      <c r="H4" s="1">
        <v>0.56399999999999995</v>
      </c>
      <c r="I4" s="6">
        <v>-5.2999999999999999E-2</v>
      </c>
      <c r="J4" s="6">
        <v>175340</v>
      </c>
      <c r="K4" s="1">
        <v>0.11800000000000001</v>
      </c>
      <c r="L4" s="6">
        <v>3</v>
      </c>
      <c r="M4" s="8"/>
    </row>
    <row r="5" spans="1:13" x14ac:dyDescent="0.35">
      <c r="A5" s="6" t="s">
        <v>28</v>
      </c>
      <c r="B5" s="9" t="s">
        <v>98</v>
      </c>
      <c r="C5" s="9" t="s">
        <v>62</v>
      </c>
      <c r="D5" s="9">
        <v>19189.89</v>
      </c>
      <c r="E5" s="9">
        <v>19662.920000000002</v>
      </c>
      <c r="F5" s="9">
        <v>702.25</v>
      </c>
      <c r="G5" s="3">
        <v>2.5000000000000001E-2</v>
      </c>
      <c r="H5" s="3">
        <v>4.2999999999999997E-2</v>
      </c>
      <c r="I5" s="9" t="s">
        <v>15</v>
      </c>
      <c r="J5" s="9">
        <v>134106</v>
      </c>
      <c r="K5" s="3">
        <v>0.09</v>
      </c>
      <c r="L5" s="9">
        <v>4</v>
      </c>
      <c r="M5" s="8"/>
    </row>
    <row r="6" spans="1:13" x14ac:dyDescent="0.35">
      <c r="A6" s="7" t="s">
        <v>39</v>
      </c>
      <c r="B6" s="7" t="s">
        <v>96</v>
      </c>
      <c r="C6" s="7" t="s">
        <v>93</v>
      </c>
      <c r="D6" s="7">
        <v>18845.2</v>
      </c>
      <c r="E6" s="7">
        <v>18845.2</v>
      </c>
      <c r="F6" s="7">
        <v>628.16999999999996</v>
      </c>
      <c r="G6" s="7" t="s">
        <v>22</v>
      </c>
      <c r="H6" s="7" t="s">
        <v>22</v>
      </c>
      <c r="I6" s="7">
        <v>-0.39500000000000002</v>
      </c>
      <c r="J6" s="7">
        <v>129290</v>
      </c>
      <c r="K6" s="5">
        <v>8.6999999999999994E-2</v>
      </c>
      <c r="L6" s="7">
        <v>5</v>
      </c>
      <c r="M6" s="8">
        <f>+F3/F6-1</f>
        <v>4.1501504369836351E-2</v>
      </c>
    </row>
    <row r="7" spans="1:13" x14ac:dyDescent="0.35">
      <c r="A7" s="6" t="s">
        <v>23</v>
      </c>
      <c r="B7" s="6" t="s">
        <v>97</v>
      </c>
      <c r="C7" s="6" t="s">
        <v>76</v>
      </c>
      <c r="D7" s="6">
        <v>17195.29</v>
      </c>
      <c r="E7" s="6">
        <v>17745.54</v>
      </c>
      <c r="F7" s="6">
        <v>591.52</v>
      </c>
      <c r="G7" s="1">
        <v>3.2000000000000001E-2</v>
      </c>
      <c r="H7" s="1">
        <v>-5.7999999999999996E-2</v>
      </c>
      <c r="I7" s="6">
        <v>-0.43</v>
      </c>
      <c r="J7" s="6">
        <v>122963</v>
      </c>
      <c r="K7" s="1">
        <v>8.3000000000000004E-2</v>
      </c>
      <c r="L7" s="6">
        <v>6</v>
      </c>
      <c r="M7" s="8"/>
    </row>
    <row r="8" spans="1:13" x14ac:dyDescent="0.35">
      <c r="A8" s="6" t="s">
        <v>28</v>
      </c>
      <c r="B8" s="9" t="s">
        <v>98</v>
      </c>
      <c r="C8" s="9" t="s">
        <v>59</v>
      </c>
      <c r="D8" s="9">
        <v>30392.95</v>
      </c>
      <c r="E8" s="9">
        <v>31142.14</v>
      </c>
      <c r="F8" s="9">
        <v>519.04</v>
      </c>
      <c r="G8" s="3">
        <v>2.5000000000000001E-2</v>
      </c>
      <c r="H8" s="3">
        <v>0.65300000000000002</v>
      </c>
      <c r="I8" s="9" t="s">
        <v>15</v>
      </c>
      <c r="J8" s="9">
        <v>83632</v>
      </c>
      <c r="K8" s="3">
        <v>5.5999999999999994E-2</v>
      </c>
      <c r="L8" s="9">
        <v>7</v>
      </c>
      <c r="M8" s="8"/>
    </row>
    <row r="9" spans="1:13" x14ac:dyDescent="0.35">
      <c r="A9" s="6" t="s">
        <v>28</v>
      </c>
      <c r="B9" s="9" t="s">
        <v>98</v>
      </c>
      <c r="C9" s="9" t="s">
        <v>81</v>
      </c>
      <c r="D9" s="9">
        <v>30258.43</v>
      </c>
      <c r="E9" s="9">
        <v>31004.3</v>
      </c>
      <c r="F9" s="9">
        <v>553.65</v>
      </c>
      <c r="G9" s="3">
        <v>2.5000000000000001E-2</v>
      </c>
      <c r="H9" s="3">
        <v>0.64500000000000002</v>
      </c>
      <c r="I9" s="9" t="s">
        <v>15</v>
      </c>
      <c r="J9" s="9">
        <v>70550</v>
      </c>
      <c r="K9" s="3">
        <v>4.7E-2</v>
      </c>
      <c r="L9" s="9">
        <v>8</v>
      </c>
      <c r="M9" s="8"/>
    </row>
    <row r="10" spans="1:13" x14ac:dyDescent="0.35">
      <c r="A10" s="6" t="s">
        <v>23</v>
      </c>
      <c r="B10" s="6" t="s">
        <v>97</v>
      </c>
      <c r="C10" s="6" t="s">
        <v>59</v>
      </c>
      <c r="D10" s="6">
        <v>27235.119999999999</v>
      </c>
      <c r="E10" s="6">
        <v>28106.65</v>
      </c>
      <c r="F10" s="6">
        <v>468.44</v>
      </c>
      <c r="G10" s="1">
        <v>3.2000000000000001E-2</v>
      </c>
      <c r="H10" s="1">
        <v>0.49099999999999999</v>
      </c>
      <c r="I10" s="6">
        <v>-9.6999999999999989E-2</v>
      </c>
      <c r="J10" s="6">
        <v>65529</v>
      </c>
      <c r="K10" s="1">
        <v>4.4000000000000004E-2</v>
      </c>
      <c r="L10" s="6">
        <v>9</v>
      </c>
      <c r="M10" s="8"/>
    </row>
    <row r="11" spans="1:13" x14ac:dyDescent="0.35">
      <c r="A11" s="7" t="s">
        <v>39</v>
      </c>
      <c r="B11" s="7" t="s">
        <v>96</v>
      </c>
      <c r="C11" s="7" t="s">
        <v>94</v>
      </c>
      <c r="D11" s="7">
        <v>29886.45</v>
      </c>
      <c r="E11" s="7">
        <v>29886.45</v>
      </c>
      <c r="F11" s="7">
        <v>533.69000000000005</v>
      </c>
      <c r="G11" s="7" t="s">
        <v>22</v>
      </c>
      <c r="H11" s="7" t="s">
        <v>22</v>
      </c>
      <c r="I11" s="7">
        <v>-0.04</v>
      </c>
      <c r="J11" s="7">
        <v>61369</v>
      </c>
      <c r="K11" s="5">
        <v>4.0999999999999995E-2</v>
      </c>
      <c r="L11" s="7">
        <v>10</v>
      </c>
      <c r="M11" s="8">
        <f>+F9/F11-1</f>
        <v>3.7399988757518265E-2</v>
      </c>
    </row>
    <row r="12" spans="1:13" x14ac:dyDescent="0.35">
      <c r="A12" s="6" t="s">
        <v>16</v>
      </c>
      <c r="B12" s="6" t="s">
        <v>92</v>
      </c>
      <c r="C12" s="6" t="s">
        <v>69</v>
      </c>
      <c r="D12" s="6">
        <v>17701.84</v>
      </c>
      <c r="E12" s="6">
        <v>18215.189999999999</v>
      </c>
      <c r="F12" s="6">
        <v>650.54</v>
      </c>
      <c r="G12" s="1">
        <v>2.8999999999999998E-2</v>
      </c>
      <c r="H12" s="1">
        <v>-3.3000000000000002E-2</v>
      </c>
      <c r="I12" s="6">
        <v>-0.41499999999999998</v>
      </c>
      <c r="J12" s="6">
        <v>50882</v>
      </c>
      <c r="K12" s="1">
        <v>3.4000000000000002E-2</v>
      </c>
      <c r="L12" s="6">
        <v>11</v>
      </c>
      <c r="M12" s="8"/>
    </row>
    <row r="13" spans="1:13" x14ac:dyDescent="0.35">
      <c r="A13" s="7" t="s">
        <v>39</v>
      </c>
      <c r="B13" s="7" t="s">
        <v>96</v>
      </c>
      <c r="C13" s="7" t="s">
        <v>69</v>
      </c>
      <c r="D13" s="7">
        <v>18296.310000000001</v>
      </c>
      <c r="E13" s="7">
        <v>18296.310000000001</v>
      </c>
      <c r="F13" s="7">
        <v>653.44000000000005</v>
      </c>
      <c r="G13" s="7" t="s">
        <v>22</v>
      </c>
      <c r="H13" s="7" t="s">
        <v>22</v>
      </c>
      <c r="I13" s="7">
        <v>-0.41200000000000003</v>
      </c>
      <c r="J13" s="7">
        <v>49916</v>
      </c>
      <c r="K13" s="5">
        <v>3.4000000000000002E-2</v>
      </c>
      <c r="L13" s="7">
        <v>12</v>
      </c>
      <c r="M13" s="8">
        <f>+F5/F13-1</f>
        <v>7.4696988246816698E-2</v>
      </c>
    </row>
    <row r="14" spans="1:13" x14ac:dyDescent="0.35">
      <c r="A14" s="6" t="s">
        <v>25</v>
      </c>
      <c r="B14" s="6" t="s">
        <v>95</v>
      </c>
      <c r="C14" s="6" t="s">
        <v>76</v>
      </c>
      <c r="D14" s="6">
        <v>21160.420000000002</v>
      </c>
      <c r="E14" s="6">
        <v>21752.920000000002</v>
      </c>
      <c r="F14" s="6">
        <v>725.1</v>
      </c>
      <c r="G14" s="1">
        <v>2.7999999999999997E-2</v>
      </c>
      <c r="H14" s="1">
        <v>0.154</v>
      </c>
      <c r="I14" s="6">
        <v>-0.30099999999999999</v>
      </c>
      <c r="J14" s="6">
        <v>41422</v>
      </c>
      <c r="K14" s="1">
        <v>2.7999999999999997E-2</v>
      </c>
      <c r="L14" s="6">
        <v>13</v>
      </c>
      <c r="M14" s="8"/>
    </row>
    <row r="15" spans="1:13" x14ac:dyDescent="0.35">
      <c r="A15" s="6" t="s">
        <v>16</v>
      </c>
      <c r="B15" s="6" t="s">
        <v>92</v>
      </c>
      <c r="C15" s="6" t="s">
        <v>94</v>
      </c>
      <c r="D15" s="6">
        <v>27938.03</v>
      </c>
      <c r="E15" s="6">
        <v>28748.23</v>
      </c>
      <c r="F15" s="6">
        <v>513.36</v>
      </c>
      <c r="G15" s="1">
        <v>2.8999999999999998E-2</v>
      </c>
      <c r="H15" s="1">
        <v>0.52500000000000002</v>
      </c>
      <c r="I15" s="6">
        <v>-7.6999999999999999E-2</v>
      </c>
      <c r="J15" s="6">
        <v>36637</v>
      </c>
      <c r="K15" s="1">
        <v>2.5000000000000001E-2</v>
      </c>
      <c r="L15" s="6">
        <v>14</v>
      </c>
      <c r="M15" s="8"/>
    </row>
    <row r="16" spans="1:13" x14ac:dyDescent="0.35">
      <c r="A16" s="6" t="s">
        <v>16</v>
      </c>
      <c r="B16" s="6" t="s">
        <v>92</v>
      </c>
      <c r="C16" s="6" t="s">
        <v>93</v>
      </c>
      <c r="D16" s="6">
        <v>17490.78</v>
      </c>
      <c r="E16" s="6">
        <v>17998.010000000002</v>
      </c>
      <c r="F16" s="6">
        <v>599.92999999999995</v>
      </c>
      <c r="G16" s="1">
        <v>2.8999999999999998E-2</v>
      </c>
      <c r="H16" s="1">
        <v>-4.4999999999999998E-2</v>
      </c>
      <c r="I16" s="6">
        <v>-0.42200000000000004</v>
      </c>
      <c r="J16" s="6">
        <v>15012</v>
      </c>
      <c r="K16" s="1">
        <v>0.01</v>
      </c>
      <c r="L16" s="6">
        <v>15</v>
      </c>
      <c r="M16" s="8"/>
    </row>
    <row r="17" spans="1:13" x14ac:dyDescent="0.35">
      <c r="A17" s="6" t="s">
        <v>66</v>
      </c>
      <c r="B17" s="6" t="s">
        <v>65</v>
      </c>
      <c r="C17" s="6" t="s">
        <v>62</v>
      </c>
      <c r="D17" s="6">
        <v>13762.01</v>
      </c>
      <c r="E17" s="6">
        <v>13762.01</v>
      </c>
      <c r="F17" s="6">
        <v>491.5</v>
      </c>
      <c r="G17" s="6" t="s">
        <v>22</v>
      </c>
      <c r="H17" s="1">
        <v>-0.27</v>
      </c>
      <c r="I17" s="6">
        <v>-0.55799999999999994</v>
      </c>
      <c r="J17" s="6">
        <v>10021</v>
      </c>
      <c r="K17" s="1">
        <v>6.9999999999999993E-3</v>
      </c>
      <c r="L17" s="6">
        <v>16</v>
      </c>
      <c r="M17" s="8"/>
    </row>
    <row r="18" spans="1:13" x14ac:dyDescent="0.35">
      <c r="A18" s="6" t="s">
        <v>16</v>
      </c>
      <c r="B18" s="6" t="s">
        <v>92</v>
      </c>
      <c r="C18" s="6" t="s">
        <v>91</v>
      </c>
      <c r="D18" s="6">
        <v>28076.25</v>
      </c>
      <c r="E18" s="6">
        <v>28890.46</v>
      </c>
      <c r="F18" s="6">
        <v>481.51</v>
      </c>
      <c r="G18" s="1">
        <v>2.8999999999999998E-2</v>
      </c>
      <c r="H18" s="1">
        <v>0.53299999999999992</v>
      </c>
      <c r="I18" s="6">
        <v>-7.2000000000000008E-2</v>
      </c>
      <c r="J18" s="6">
        <v>7312</v>
      </c>
      <c r="K18" s="1">
        <v>5.0000000000000001E-3</v>
      </c>
      <c r="L18" s="6">
        <v>17</v>
      </c>
    </row>
    <row r="19" spans="1:13" x14ac:dyDescent="0.35">
      <c r="A19" s="6" t="s">
        <v>90</v>
      </c>
      <c r="B19" s="6" t="s">
        <v>89</v>
      </c>
      <c r="C19" s="6" t="s">
        <v>62</v>
      </c>
      <c r="D19" s="6">
        <v>15287.92</v>
      </c>
      <c r="E19" s="6">
        <v>15287.92</v>
      </c>
      <c r="F19" s="6">
        <v>546</v>
      </c>
      <c r="G19" s="6" t="s">
        <v>22</v>
      </c>
      <c r="H19" s="1">
        <v>-0.18899999999999997</v>
      </c>
      <c r="I19" s="6">
        <v>-0.50900000000000001</v>
      </c>
      <c r="J19" s="6">
        <v>4807</v>
      </c>
      <c r="K19" s="1">
        <v>3.0000000000000001E-3</v>
      </c>
      <c r="L19" s="6">
        <v>18</v>
      </c>
    </row>
    <row r="20" spans="1:13" x14ac:dyDescent="0.35">
      <c r="A20" s="6" t="s">
        <v>88</v>
      </c>
      <c r="B20" s="6" t="s">
        <v>87</v>
      </c>
      <c r="C20" s="6" t="s">
        <v>69</v>
      </c>
      <c r="D20" s="6">
        <v>16910</v>
      </c>
      <c r="E20" s="6">
        <v>17250</v>
      </c>
      <c r="F20" s="6">
        <v>616.07000000000005</v>
      </c>
      <c r="G20" s="1">
        <v>0.02</v>
      </c>
      <c r="H20" s="1">
        <v>-8.5000000000000006E-2</v>
      </c>
      <c r="I20" s="6">
        <v>-0.44600000000000001</v>
      </c>
      <c r="J20" s="6">
        <v>4201</v>
      </c>
      <c r="K20" s="1">
        <v>3.0000000000000001E-3</v>
      </c>
      <c r="L20" s="6">
        <v>19</v>
      </c>
    </row>
    <row r="21" spans="1:13" x14ac:dyDescent="0.35">
      <c r="A21" s="6" t="s">
        <v>66</v>
      </c>
      <c r="B21" s="6" t="s">
        <v>65</v>
      </c>
      <c r="C21" s="6" t="s">
        <v>76</v>
      </c>
      <c r="D21" s="6">
        <v>15321.37</v>
      </c>
      <c r="E21" s="6">
        <v>15321.37</v>
      </c>
      <c r="F21" s="6">
        <v>510.71</v>
      </c>
      <c r="G21" s="6" t="s">
        <v>22</v>
      </c>
      <c r="H21" s="1">
        <v>-0.187</v>
      </c>
      <c r="I21" s="6">
        <v>-0.50800000000000001</v>
      </c>
      <c r="J21" s="6">
        <v>3479</v>
      </c>
      <c r="K21" s="1">
        <v>2E-3</v>
      </c>
      <c r="L21" s="6">
        <v>20</v>
      </c>
    </row>
    <row r="22" spans="1:13" x14ac:dyDescent="0.35">
      <c r="A22" s="6" t="s">
        <v>86</v>
      </c>
      <c r="B22" s="6" t="s">
        <v>85</v>
      </c>
      <c r="C22" s="6" t="s">
        <v>76</v>
      </c>
      <c r="D22" s="6">
        <v>15446.76</v>
      </c>
      <c r="E22" s="6">
        <v>15894.720000000001</v>
      </c>
      <c r="F22" s="6">
        <v>529.82000000000005</v>
      </c>
      <c r="G22" s="1">
        <v>2.8999999999999998E-2</v>
      </c>
      <c r="H22" s="1">
        <v>-0.157</v>
      </c>
      <c r="I22" s="6">
        <v>-0.49</v>
      </c>
      <c r="J22" s="6">
        <v>3304</v>
      </c>
      <c r="K22" s="1">
        <v>2E-3</v>
      </c>
      <c r="L22" s="6">
        <v>21</v>
      </c>
    </row>
    <row r="23" spans="1:13" x14ac:dyDescent="0.35">
      <c r="A23" s="6" t="s">
        <v>61</v>
      </c>
      <c r="B23" s="6" t="s">
        <v>60</v>
      </c>
      <c r="C23" s="6" t="s">
        <v>76</v>
      </c>
      <c r="D23" s="6">
        <v>15011.32</v>
      </c>
      <c r="E23" s="6">
        <v>15011.32</v>
      </c>
      <c r="F23" s="6">
        <v>500.38</v>
      </c>
      <c r="G23" s="6" t="s">
        <v>22</v>
      </c>
      <c r="H23" s="1">
        <v>-0.20300000000000001</v>
      </c>
      <c r="I23" s="6">
        <v>-0.51800000000000002</v>
      </c>
      <c r="J23" s="6">
        <v>3197</v>
      </c>
      <c r="K23" s="1">
        <v>2E-3</v>
      </c>
      <c r="L23" s="6">
        <v>22</v>
      </c>
    </row>
    <row r="24" spans="1:13" x14ac:dyDescent="0.35">
      <c r="A24" s="6" t="s">
        <v>84</v>
      </c>
      <c r="B24" s="6" t="s">
        <v>83</v>
      </c>
      <c r="C24" s="6" t="s">
        <v>62</v>
      </c>
      <c r="D24" s="6">
        <v>15775.16</v>
      </c>
      <c r="E24" s="6">
        <v>15775.16</v>
      </c>
      <c r="F24" s="6">
        <v>563.4</v>
      </c>
      <c r="G24" s="6" t="s">
        <v>22</v>
      </c>
      <c r="H24" s="1">
        <v>-0.16300000000000001</v>
      </c>
      <c r="I24" s="6">
        <v>-0.49299999999999999</v>
      </c>
      <c r="J24" s="6">
        <v>1715</v>
      </c>
      <c r="K24" s="1">
        <v>1E-3</v>
      </c>
      <c r="L24" s="6">
        <v>23</v>
      </c>
    </row>
    <row r="25" spans="1:13" x14ac:dyDescent="0.35">
      <c r="A25" s="6" t="s">
        <v>72</v>
      </c>
      <c r="B25" s="6" t="s">
        <v>71</v>
      </c>
      <c r="C25" s="6" t="s">
        <v>82</v>
      </c>
      <c r="D25" s="6">
        <v>15970.37</v>
      </c>
      <c r="E25" s="6">
        <v>16450</v>
      </c>
      <c r="F25" s="6">
        <v>548.33000000000004</v>
      </c>
      <c r="G25" s="1">
        <v>0.03</v>
      </c>
      <c r="H25" s="1">
        <v>-0.127</v>
      </c>
      <c r="I25" s="6">
        <v>-0.47200000000000003</v>
      </c>
      <c r="J25" s="6">
        <v>1634</v>
      </c>
      <c r="K25" s="1">
        <v>1E-3</v>
      </c>
      <c r="L25" s="6">
        <v>24</v>
      </c>
    </row>
    <row r="26" spans="1:13" x14ac:dyDescent="0.35">
      <c r="A26" s="6" t="s">
        <v>75</v>
      </c>
      <c r="B26" s="6" t="s">
        <v>74</v>
      </c>
      <c r="C26" s="6" t="s">
        <v>62</v>
      </c>
      <c r="D26" s="6">
        <v>14653.42</v>
      </c>
      <c r="E26" s="6">
        <v>14653.42</v>
      </c>
      <c r="F26" s="6">
        <v>523.34</v>
      </c>
      <c r="G26" s="6" t="s">
        <v>22</v>
      </c>
      <c r="H26" s="1">
        <v>-0.222</v>
      </c>
      <c r="I26" s="6">
        <v>-0.52900000000000003</v>
      </c>
      <c r="J26" s="6">
        <v>891</v>
      </c>
      <c r="K26" s="1">
        <v>1E-3</v>
      </c>
      <c r="L26" s="6">
        <v>25</v>
      </c>
    </row>
    <row r="27" spans="1:13" x14ac:dyDescent="0.35">
      <c r="A27" s="6" t="s">
        <v>66</v>
      </c>
      <c r="B27" s="6" t="s">
        <v>65</v>
      </c>
      <c r="C27" s="6" t="s">
        <v>81</v>
      </c>
      <c r="D27" s="6">
        <v>25756.63</v>
      </c>
      <c r="E27" s="6">
        <v>25756.63</v>
      </c>
      <c r="F27" s="6">
        <v>459.94</v>
      </c>
      <c r="G27" s="6" t="s">
        <v>22</v>
      </c>
      <c r="H27" s="1">
        <v>0.36700000000000005</v>
      </c>
      <c r="I27" s="6">
        <v>-0.17300000000000001</v>
      </c>
      <c r="J27" s="6">
        <v>814</v>
      </c>
      <c r="K27" s="1">
        <v>1E-3</v>
      </c>
      <c r="L27" s="6">
        <v>26</v>
      </c>
    </row>
    <row r="28" spans="1:13" x14ac:dyDescent="0.35">
      <c r="A28" s="6" t="s">
        <v>80</v>
      </c>
      <c r="B28" s="6" t="s">
        <v>79</v>
      </c>
      <c r="C28" s="6" t="s">
        <v>62</v>
      </c>
      <c r="D28" s="6">
        <v>16288.73</v>
      </c>
      <c r="E28" s="6">
        <v>16777.39</v>
      </c>
      <c r="F28" s="6">
        <v>599.19000000000005</v>
      </c>
      <c r="G28" s="1">
        <v>0.03</v>
      </c>
      <c r="H28" s="1">
        <v>-0.11</v>
      </c>
      <c r="I28" s="6">
        <v>-0.46100000000000002</v>
      </c>
      <c r="J28" s="6">
        <v>537</v>
      </c>
      <c r="K28" s="6" t="s">
        <v>22</v>
      </c>
      <c r="L28" s="6">
        <v>27</v>
      </c>
    </row>
    <row r="29" spans="1:13" x14ac:dyDescent="0.35">
      <c r="A29" s="6" t="s">
        <v>78</v>
      </c>
      <c r="B29" s="6" t="s">
        <v>77</v>
      </c>
      <c r="C29" s="6" t="s">
        <v>76</v>
      </c>
      <c r="D29" s="6">
        <v>18450.23</v>
      </c>
      <c r="E29" s="6">
        <v>19188.240000000002</v>
      </c>
      <c r="F29" s="6">
        <v>639.61</v>
      </c>
      <c r="G29" s="1">
        <v>0.04</v>
      </c>
      <c r="H29" s="1">
        <v>1.8000000000000002E-2</v>
      </c>
      <c r="I29" s="6">
        <v>-0.38400000000000001</v>
      </c>
      <c r="J29" s="6">
        <v>461</v>
      </c>
      <c r="K29" s="6" t="s">
        <v>22</v>
      </c>
      <c r="L29" s="6">
        <v>28</v>
      </c>
    </row>
    <row r="30" spans="1:13" x14ac:dyDescent="0.35">
      <c r="A30" s="6" t="s">
        <v>75</v>
      </c>
      <c r="B30" s="6" t="s">
        <v>74</v>
      </c>
      <c r="C30" s="6" t="s">
        <v>73</v>
      </c>
      <c r="D30" s="6">
        <v>17484.47</v>
      </c>
      <c r="E30" s="6">
        <v>17484.47</v>
      </c>
      <c r="F30" s="6">
        <v>582.82000000000005</v>
      </c>
      <c r="G30" s="6" t="s">
        <v>22</v>
      </c>
      <c r="H30" s="1">
        <v>-7.2000000000000008E-2</v>
      </c>
      <c r="I30" s="6">
        <v>-0.439</v>
      </c>
      <c r="J30" s="6">
        <v>221</v>
      </c>
      <c r="K30" s="6" t="s">
        <v>22</v>
      </c>
      <c r="L30" s="6">
        <v>29</v>
      </c>
    </row>
    <row r="31" spans="1:13" x14ac:dyDescent="0.35">
      <c r="A31" s="6" t="s">
        <v>72</v>
      </c>
      <c r="B31" s="6" t="s">
        <v>71</v>
      </c>
      <c r="C31" s="6" t="s">
        <v>59</v>
      </c>
      <c r="D31" s="6">
        <v>26380.91</v>
      </c>
      <c r="E31" s="6">
        <v>27040.43</v>
      </c>
      <c r="F31" s="6">
        <v>450.67</v>
      </c>
      <c r="G31" s="1">
        <v>2.5000000000000001E-2</v>
      </c>
      <c r="H31" s="1">
        <v>0.435</v>
      </c>
      <c r="I31" s="6">
        <v>-0.13200000000000001</v>
      </c>
      <c r="J31" s="6">
        <v>138</v>
      </c>
      <c r="K31" s="6" t="s">
        <v>22</v>
      </c>
      <c r="L31" s="6">
        <v>30</v>
      </c>
    </row>
    <row r="32" spans="1:13" x14ac:dyDescent="0.35">
      <c r="A32" s="6" t="s">
        <v>35</v>
      </c>
      <c r="B32" s="6" t="s">
        <v>70</v>
      </c>
      <c r="C32" s="6" t="s">
        <v>69</v>
      </c>
      <c r="D32" s="6">
        <v>14180.050000000001</v>
      </c>
      <c r="E32" s="6">
        <v>14591.27</v>
      </c>
      <c r="F32" s="6">
        <v>521.12</v>
      </c>
      <c r="G32" s="1">
        <v>2.8999999999999998E-2</v>
      </c>
      <c r="H32" s="1">
        <v>-0.22600000000000001</v>
      </c>
      <c r="I32" s="6">
        <v>-0.53100000000000003</v>
      </c>
      <c r="J32" s="6">
        <v>109</v>
      </c>
      <c r="K32" s="6" t="s">
        <v>22</v>
      </c>
      <c r="L32" s="6">
        <v>31</v>
      </c>
    </row>
    <row r="33" spans="1:12" x14ac:dyDescent="0.35">
      <c r="A33" s="6" t="s">
        <v>41</v>
      </c>
      <c r="B33" s="6" t="s">
        <v>68</v>
      </c>
      <c r="C33" s="6" t="s">
        <v>67</v>
      </c>
      <c r="D33" s="6">
        <v>16670.8</v>
      </c>
      <c r="E33" s="6">
        <v>17154.25</v>
      </c>
      <c r="F33" s="6">
        <v>612.65</v>
      </c>
      <c r="G33" s="1">
        <v>2.8999999999999998E-2</v>
      </c>
      <c r="H33" s="1">
        <v>-0.09</v>
      </c>
      <c r="I33" s="6">
        <v>-0.44900000000000001</v>
      </c>
      <c r="J33" s="6">
        <v>68</v>
      </c>
      <c r="K33" s="6" t="s">
        <v>22</v>
      </c>
      <c r="L33" s="6">
        <v>32</v>
      </c>
    </row>
    <row r="34" spans="1:12" x14ac:dyDescent="0.35">
      <c r="A34" s="6" t="s">
        <v>66</v>
      </c>
      <c r="B34" s="6" t="s">
        <v>65</v>
      </c>
      <c r="C34" s="6" t="s">
        <v>59</v>
      </c>
      <c r="D34" s="6">
        <v>26767.64</v>
      </c>
      <c r="E34" s="6">
        <v>26767.64</v>
      </c>
      <c r="F34" s="6">
        <v>446.13</v>
      </c>
      <c r="G34" s="6" t="s">
        <v>22</v>
      </c>
      <c r="H34" s="1">
        <v>0.42</v>
      </c>
      <c r="I34" s="6">
        <v>-0.14000000000000001</v>
      </c>
      <c r="J34" s="6">
        <v>22</v>
      </c>
      <c r="K34" s="6" t="s">
        <v>22</v>
      </c>
      <c r="L34" s="6">
        <v>33</v>
      </c>
    </row>
    <row r="35" spans="1:12" x14ac:dyDescent="0.35">
      <c r="A35" s="6" t="s">
        <v>64</v>
      </c>
      <c r="B35" s="6" t="s">
        <v>63</v>
      </c>
      <c r="C35" s="6" t="s">
        <v>62</v>
      </c>
      <c r="D35" s="6">
        <v>13595.800000000001</v>
      </c>
      <c r="E35" s="6">
        <v>13595.800000000001</v>
      </c>
      <c r="F35" s="6">
        <v>485.56</v>
      </c>
      <c r="G35" s="6" t="s">
        <v>22</v>
      </c>
      <c r="H35" s="1">
        <v>-0.27899999999999997</v>
      </c>
      <c r="I35" s="6">
        <v>-0.56299999999999994</v>
      </c>
      <c r="J35" s="6">
        <v>1</v>
      </c>
      <c r="K35" s="6" t="s">
        <v>22</v>
      </c>
      <c r="L35" s="6">
        <v>34</v>
      </c>
    </row>
    <row r="36" spans="1:12" x14ac:dyDescent="0.35">
      <c r="A36" s="6" t="s">
        <v>61</v>
      </c>
      <c r="B36" s="6" t="s">
        <v>60</v>
      </c>
      <c r="C36" s="6" t="s">
        <v>59</v>
      </c>
      <c r="D36" s="6">
        <v>18745.560000000001</v>
      </c>
      <c r="E36" s="6">
        <v>18745.560000000001</v>
      </c>
      <c r="F36" s="6">
        <v>312.43</v>
      </c>
      <c r="G36" s="6" t="s">
        <v>22</v>
      </c>
      <c r="H36" s="1">
        <v>-5.0000000000000001E-3</v>
      </c>
      <c r="I36" s="6">
        <v>-0.39799999999999996</v>
      </c>
      <c r="J36" s="6">
        <v>1</v>
      </c>
      <c r="K36" s="6" t="s">
        <v>22</v>
      </c>
      <c r="L36" s="6">
        <v>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D0C4-8E03-4A00-B588-2A82B652D821}">
  <dimension ref="A1:M37"/>
  <sheetViews>
    <sheetView topLeftCell="B1" workbookViewId="0">
      <selection activeCell="D14" sqref="D14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4" width="11" style="6" customWidth="1"/>
    <col min="5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6" t="s">
        <v>58</v>
      </c>
      <c r="B2" s="6" t="s">
        <v>99</v>
      </c>
      <c r="C2" s="6" t="s">
        <v>106</v>
      </c>
      <c r="D2" s="6">
        <v>22121.33</v>
      </c>
      <c r="E2" s="6">
        <v>22784.97</v>
      </c>
      <c r="F2" s="6">
        <v>759.5</v>
      </c>
      <c r="G2" s="1">
        <v>0.03</v>
      </c>
      <c r="H2" s="1">
        <v>-2.2000000000000002E-2</v>
      </c>
      <c r="I2" s="6">
        <v>-0.43200000000000005</v>
      </c>
      <c r="J2" s="6">
        <v>172233</v>
      </c>
      <c r="K2" s="1">
        <v>0.155</v>
      </c>
      <c r="L2" s="6">
        <v>1</v>
      </c>
    </row>
    <row r="3" spans="1:13" x14ac:dyDescent="0.35">
      <c r="A3" s="9" t="s">
        <v>28</v>
      </c>
      <c r="B3" s="9" t="s">
        <v>98</v>
      </c>
      <c r="C3" s="9" t="s">
        <v>113</v>
      </c>
      <c r="D3" s="9"/>
      <c r="E3" s="11">
        <v>24226.12</v>
      </c>
      <c r="F3" s="13">
        <f>+E3/30</f>
        <v>807.53733333333332</v>
      </c>
      <c r="G3" s="3">
        <v>2.5000000000000001E-2</v>
      </c>
      <c r="H3" s="3">
        <v>0.16899999999999998</v>
      </c>
      <c r="I3" s="9" t="s">
        <v>15</v>
      </c>
      <c r="J3" s="9">
        <v>142394</v>
      </c>
      <c r="K3" s="3">
        <v>0.128</v>
      </c>
      <c r="L3" s="9">
        <v>2</v>
      </c>
    </row>
    <row r="4" spans="1:13" x14ac:dyDescent="0.35">
      <c r="A4" s="9" t="s">
        <v>28</v>
      </c>
      <c r="B4" s="9" t="s">
        <v>98</v>
      </c>
      <c r="C4" s="9" t="s">
        <v>112</v>
      </c>
      <c r="D4" s="9"/>
      <c r="E4" s="12">
        <v>24298</v>
      </c>
      <c r="F4" s="13">
        <f>+E4/28</f>
        <v>867.78571428571433</v>
      </c>
      <c r="G4" s="3">
        <v>2.5000000000000001E-2</v>
      </c>
      <c r="H4" s="3">
        <v>0.17</v>
      </c>
      <c r="I4" s="9" t="s">
        <v>15</v>
      </c>
      <c r="J4" s="9">
        <v>118001</v>
      </c>
      <c r="K4" s="3">
        <v>0.106</v>
      </c>
      <c r="L4" s="9">
        <v>3</v>
      </c>
    </row>
    <row r="5" spans="1:13" x14ac:dyDescent="0.35">
      <c r="A5" s="6" t="s">
        <v>23</v>
      </c>
      <c r="B5" s="6" t="s">
        <v>97</v>
      </c>
      <c r="C5" s="6" t="s">
        <v>113</v>
      </c>
      <c r="D5" s="6">
        <v>21284.91</v>
      </c>
      <c r="E5" s="6">
        <v>21966.02</v>
      </c>
      <c r="F5" s="6">
        <v>732.2</v>
      </c>
      <c r="G5" s="1">
        <v>3.2000000000000001E-2</v>
      </c>
      <c r="H5" s="1">
        <v>-5.7000000000000002E-2</v>
      </c>
      <c r="I5" s="6">
        <v>-0.45200000000000001</v>
      </c>
      <c r="J5" s="6">
        <v>102955</v>
      </c>
      <c r="K5" s="1">
        <v>9.3000000000000013E-2</v>
      </c>
      <c r="L5" s="6">
        <v>4</v>
      </c>
    </row>
    <row r="6" spans="1:13" x14ac:dyDescent="0.35">
      <c r="A6" s="7" t="s">
        <v>39</v>
      </c>
      <c r="B6" s="7" t="s">
        <v>96</v>
      </c>
      <c r="C6" s="7" t="s">
        <v>106</v>
      </c>
      <c r="D6" s="7">
        <v>23297.360000000001</v>
      </c>
      <c r="E6" s="7">
        <v>23297.360000000001</v>
      </c>
      <c r="F6" s="7">
        <v>776.58</v>
      </c>
      <c r="G6" s="7" t="s">
        <v>22</v>
      </c>
      <c r="H6" s="7" t="s">
        <v>22</v>
      </c>
      <c r="I6" s="7">
        <v>-0.41899999999999998</v>
      </c>
      <c r="J6" s="7">
        <v>93871</v>
      </c>
      <c r="K6" s="5">
        <v>8.5000000000000006E-2</v>
      </c>
      <c r="L6" s="7">
        <v>5</v>
      </c>
      <c r="M6" s="8">
        <f>+F3/F6-1</f>
        <v>3.9863675774979068E-2</v>
      </c>
    </row>
    <row r="7" spans="1:13" x14ac:dyDescent="0.35">
      <c r="A7" s="6" t="s">
        <v>58</v>
      </c>
      <c r="B7" s="6" t="s">
        <v>99</v>
      </c>
      <c r="C7" s="6" t="s">
        <v>116</v>
      </c>
      <c r="D7" s="6">
        <v>36518.39</v>
      </c>
      <c r="E7" s="6">
        <v>37613.94</v>
      </c>
      <c r="F7" s="6">
        <v>626.9</v>
      </c>
      <c r="G7" s="1">
        <v>0.03</v>
      </c>
      <c r="H7" s="1">
        <v>0.61499999999999999</v>
      </c>
      <c r="I7" s="6">
        <v>-6.2E-2</v>
      </c>
      <c r="J7" s="6">
        <v>91848</v>
      </c>
      <c r="K7" s="1">
        <v>8.3000000000000004E-2</v>
      </c>
      <c r="L7" s="6">
        <v>6</v>
      </c>
    </row>
    <row r="8" spans="1:13" x14ac:dyDescent="0.35">
      <c r="A8" s="9" t="s">
        <v>28</v>
      </c>
      <c r="B8" s="9" t="s">
        <v>98</v>
      </c>
      <c r="C8" s="9" t="s">
        <v>115</v>
      </c>
      <c r="D8" s="9">
        <v>38160.400000000001</v>
      </c>
      <c r="E8" s="9">
        <v>39101.06</v>
      </c>
      <c r="F8" s="9">
        <v>698.23</v>
      </c>
      <c r="G8" s="3">
        <v>2.5000000000000001E-2</v>
      </c>
      <c r="H8" s="3">
        <v>0.67799999999999994</v>
      </c>
      <c r="I8" s="9" t="s">
        <v>15</v>
      </c>
      <c r="J8" s="9">
        <v>54813</v>
      </c>
      <c r="K8" s="3">
        <v>4.9000000000000002E-2</v>
      </c>
      <c r="L8" s="9">
        <v>7</v>
      </c>
    </row>
    <row r="9" spans="1:13" x14ac:dyDescent="0.35">
      <c r="A9" s="9" t="s">
        <v>28</v>
      </c>
      <c r="B9" s="9" t="s">
        <v>98</v>
      </c>
      <c r="C9" s="9" t="s">
        <v>105</v>
      </c>
      <c r="D9" s="9">
        <v>39147.620000000003</v>
      </c>
      <c r="E9" s="9">
        <v>40112.61</v>
      </c>
      <c r="F9" s="9">
        <v>668.54</v>
      </c>
      <c r="G9" s="3">
        <v>2.5000000000000001E-2</v>
      </c>
      <c r="H9" s="3">
        <v>0.72199999999999998</v>
      </c>
      <c r="I9" s="9" t="s">
        <v>15</v>
      </c>
      <c r="J9" s="9">
        <v>45363</v>
      </c>
      <c r="K9" s="3">
        <v>4.0999999999999995E-2</v>
      </c>
      <c r="L9" s="9">
        <v>8</v>
      </c>
    </row>
    <row r="10" spans="1:13" x14ac:dyDescent="0.35">
      <c r="A10" s="7" t="s">
        <v>39</v>
      </c>
      <c r="B10" s="7" t="s">
        <v>96</v>
      </c>
      <c r="C10" s="7" t="s">
        <v>114</v>
      </c>
      <c r="D10" s="7">
        <v>23297.74</v>
      </c>
      <c r="E10" s="7">
        <v>23297.74</v>
      </c>
      <c r="F10" s="7">
        <v>832.06</v>
      </c>
      <c r="G10" s="7" t="s">
        <v>22</v>
      </c>
      <c r="H10" s="7" t="s">
        <v>22</v>
      </c>
      <c r="I10" s="7">
        <v>-0.41899999999999998</v>
      </c>
      <c r="J10" s="7">
        <v>43852</v>
      </c>
      <c r="K10" s="5">
        <v>3.9E-2</v>
      </c>
      <c r="L10" s="7">
        <v>9</v>
      </c>
      <c r="M10" s="8">
        <f>+F4/F10-1</f>
        <v>4.2936464059940782E-2</v>
      </c>
    </row>
    <row r="11" spans="1:13" x14ac:dyDescent="0.35">
      <c r="A11" s="7" t="s">
        <v>39</v>
      </c>
      <c r="B11" s="7" t="s">
        <v>96</v>
      </c>
      <c r="C11" s="7" t="s">
        <v>117</v>
      </c>
      <c r="D11" s="7">
        <v>39204.25</v>
      </c>
      <c r="E11" s="7">
        <v>39204.25</v>
      </c>
      <c r="F11" s="7">
        <v>700.08</v>
      </c>
      <c r="G11" s="7" t="s">
        <v>22</v>
      </c>
      <c r="H11" s="7" t="s">
        <v>22</v>
      </c>
      <c r="I11" s="7">
        <v>-2.3E-2</v>
      </c>
      <c r="J11" s="7">
        <v>42456</v>
      </c>
      <c r="K11" s="5">
        <v>3.7999999999999999E-2</v>
      </c>
      <c r="L11" s="7">
        <v>10</v>
      </c>
      <c r="M11" s="10">
        <f>+F11/F8-1</f>
        <v>2.6495567363189476E-3</v>
      </c>
    </row>
    <row r="12" spans="1:13" x14ac:dyDescent="0.35">
      <c r="A12" s="6" t="s">
        <v>25</v>
      </c>
      <c r="B12" s="6" t="s">
        <v>95</v>
      </c>
      <c r="C12" s="6" t="s">
        <v>113</v>
      </c>
      <c r="D12" s="6">
        <v>24982.62</v>
      </c>
      <c r="E12" s="6">
        <v>25682.14</v>
      </c>
      <c r="F12" s="6">
        <v>856.07</v>
      </c>
      <c r="G12" s="1">
        <v>2.7999999999999997E-2</v>
      </c>
      <c r="H12" s="1">
        <v>0.10199999999999999</v>
      </c>
      <c r="I12" s="6">
        <v>-0.36</v>
      </c>
      <c r="J12" s="6">
        <v>41875</v>
      </c>
      <c r="K12" s="1">
        <v>3.7999999999999999E-2</v>
      </c>
      <c r="L12" s="6">
        <v>11</v>
      </c>
    </row>
    <row r="13" spans="1:13" x14ac:dyDescent="0.35">
      <c r="A13" s="6" t="s">
        <v>16</v>
      </c>
      <c r="B13" s="6" t="s">
        <v>92</v>
      </c>
      <c r="C13" s="6" t="s">
        <v>114</v>
      </c>
      <c r="D13" s="6">
        <v>22162.57</v>
      </c>
      <c r="E13" s="6">
        <v>22805.29</v>
      </c>
      <c r="F13" s="6">
        <v>814.47</v>
      </c>
      <c r="G13" s="1">
        <v>2.8999999999999998E-2</v>
      </c>
      <c r="H13" s="1">
        <v>-2.1000000000000001E-2</v>
      </c>
      <c r="I13" s="6">
        <v>-0.43099999999999999</v>
      </c>
      <c r="J13" s="6">
        <v>41171</v>
      </c>
      <c r="K13" s="1">
        <v>3.7000000000000005E-2</v>
      </c>
      <c r="L13" s="6">
        <v>12</v>
      </c>
    </row>
    <row r="14" spans="1:13" x14ac:dyDescent="0.35">
      <c r="A14" s="6" t="s">
        <v>23</v>
      </c>
      <c r="B14" s="6" t="s">
        <v>97</v>
      </c>
      <c r="C14" s="6" t="s">
        <v>105</v>
      </c>
      <c r="D14" s="6">
        <v>34321.599999999999</v>
      </c>
      <c r="E14" s="6">
        <v>35419.9</v>
      </c>
      <c r="F14" s="6">
        <v>590.33000000000004</v>
      </c>
      <c r="G14" s="1">
        <v>3.2000000000000001E-2</v>
      </c>
      <c r="H14" s="1">
        <v>0.52</v>
      </c>
      <c r="I14" s="6">
        <v>-0.11699999999999999</v>
      </c>
      <c r="J14" s="6">
        <v>37774</v>
      </c>
      <c r="K14" s="1">
        <v>3.4000000000000002E-2</v>
      </c>
      <c r="L14" s="6">
        <v>13</v>
      </c>
    </row>
    <row r="15" spans="1:13" x14ac:dyDescent="0.35">
      <c r="A15" s="6" t="s">
        <v>16</v>
      </c>
      <c r="B15" s="6" t="s">
        <v>92</v>
      </c>
      <c r="C15" s="6" t="s">
        <v>117</v>
      </c>
      <c r="D15" s="6">
        <v>35751.520000000004</v>
      </c>
      <c r="E15" s="6">
        <v>36788.31</v>
      </c>
      <c r="F15" s="6">
        <v>656.93</v>
      </c>
      <c r="G15" s="1">
        <v>2.8999999999999998E-2</v>
      </c>
      <c r="H15" s="1">
        <v>0.57899999999999996</v>
      </c>
      <c r="I15" s="6">
        <v>-8.3000000000000004E-2</v>
      </c>
      <c r="J15" s="6">
        <v>24385</v>
      </c>
      <c r="K15" s="1">
        <v>2.2000000000000002E-2</v>
      </c>
      <c r="L15" s="6">
        <v>14</v>
      </c>
    </row>
    <row r="16" spans="1:13" x14ac:dyDescent="0.35">
      <c r="A16" s="6" t="s">
        <v>88</v>
      </c>
      <c r="B16" s="6" t="s">
        <v>110</v>
      </c>
      <c r="C16" s="6" t="s">
        <v>109</v>
      </c>
      <c r="D16" s="6">
        <v>20830</v>
      </c>
      <c r="E16" s="6">
        <v>21250</v>
      </c>
      <c r="F16" s="6">
        <v>758.93</v>
      </c>
      <c r="G16" s="1">
        <v>0.02</v>
      </c>
      <c r="H16" s="1">
        <v>-8.8000000000000009E-2</v>
      </c>
      <c r="I16" s="6">
        <v>-0.47</v>
      </c>
      <c r="J16" s="6">
        <v>13315</v>
      </c>
      <c r="K16" s="1">
        <v>1.2E-2</v>
      </c>
      <c r="L16" s="6">
        <v>15</v>
      </c>
    </row>
    <row r="17" spans="1:12" x14ac:dyDescent="0.35">
      <c r="A17" s="6" t="s">
        <v>16</v>
      </c>
      <c r="B17" s="6" t="s">
        <v>92</v>
      </c>
      <c r="C17" s="6" t="s">
        <v>106</v>
      </c>
      <c r="D17" s="6">
        <v>21809.57</v>
      </c>
      <c r="E17" s="6">
        <v>22442.04</v>
      </c>
      <c r="F17" s="6">
        <v>748.07</v>
      </c>
      <c r="G17" s="1">
        <v>2.8999999999999998E-2</v>
      </c>
      <c r="H17" s="1">
        <v>-3.7000000000000005E-2</v>
      </c>
      <c r="I17" s="6">
        <v>-0.441</v>
      </c>
      <c r="J17" s="6">
        <v>12602</v>
      </c>
      <c r="K17" s="1">
        <v>1.1000000000000001E-2</v>
      </c>
      <c r="L17" s="6">
        <v>16</v>
      </c>
    </row>
    <row r="18" spans="1:12" x14ac:dyDescent="0.35">
      <c r="A18" s="6" t="s">
        <v>66</v>
      </c>
      <c r="B18" s="6" t="s">
        <v>65</v>
      </c>
      <c r="C18" s="6" t="s">
        <v>112</v>
      </c>
      <c r="D18" s="6">
        <v>17852.68</v>
      </c>
      <c r="E18" s="6">
        <v>17852.68</v>
      </c>
      <c r="F18" s="6">
        <v>637.6</v>
      </c>
      <c r="G18" s="6" t="s">
        <v>22</v>
      </c>
      <c r="H18" s="1">
        <v>-0.23399999999999999</v>
      </c>
      <c r="I18" s="6">
        <v>-0.55500000000000005</v>
      </c>
      <c r="J18" s="6">
        <v>7054</v>
      </c>
      <c r="K18" s="1">
        <v>6.0000000000000001E-3</v>
      </c>
      <c r="L18" s="6">
        <v>17</v>
      </c>
    </row>
    <row r="19" spans="1:12" x14ac:dyDescent="0.35">
      <c r="A19" s="6" t="s">
        <v>16</v>
      </c>
      <c r="B19" s="6" t="s">
        <v>92</v>
      </c>
      <c r="C19" s="6" t="s">
        <v>116</v>
      </c>
      <c r="D19" s="6">
        <v>35354.19</v>
      </c>
      <c r="E19" s="6">
        <v>36379.46</v>
      </c>
      <c r="F19" s="6">
        <v>606.32000000000005</v>
      </c>
      <c r="G19" s="1">
        <v>2.8999999999999998E-2</v>
      </c>
      <c r="H19" s="1">
        <v>0.56200000000000006</v>
      </c>
      <c r="I19" s="6">
        <v>-9.3000000000000013E-2</v>
      </c>
      <c r="J19" s="6">
        <v>5895</v>
      </c>
      <c r="K19" s="1">
        <v>5.0000000000000001E-3</v>
      </c>
      <c r="L19" s="6">
        <v>18</v>
      </c>
    </row>
    <row r="20" spans="1:12" x14ac:dyDescent="0.35">
      <c r="A20" s="6" t="s">
        <v>90</v>
      </c>
      <c r="B20" s="6" t="s">
        <v>89</v>
      </c>
      <c r="C20" s="6" t="s">
        <v>112</v>
      </c>
      <c r="D20" s="6">
        <v>17881.260000000002</v>
      </c>
      <c r="E20" s="6">
        <v>17881.260000000002</v>
      </c>
      <c r="F20" s="6">
        <v>638.62</v>
      </c>
      <c r="G20" s="6" t="s">
        <v>22</v>
      </c>
      <c r="H20" s="1">
        <v>-0.23199999999999998</v>
      </c>
      <c r="I20" s="6">
        <v>-0.55399999999999994</v>
      </c>
      <c r="J20" s="6">
        <v>3347</v>
      </c>
      <c r="K20" s="1">
        <v>3.0000000000000001E-3</v>
      </c>
      <c r="L20" s="6">
        <v>19</v>
      </c>
    </row>
    <row r="21" spans="1:12" x14ac:dyDescent="0.35">
      <c r="A21" s="6" t="s">
        <v>66</v>
      </c>
      <c r="B21" s="6" t="s">
        <v>65</v>
      </c>
      <c r="C21" s="6" t="s">
        <v>113</v>
      </c>
      <c r="D21" s="6">
        <v>18685.760000000002</v>
      </c>
      <c r="E21" s="6">
        <v>18685.760000000002</v>
      </c>
      <c r="F21" s="6">
        <v>622.86</v>
      </c>
      <c r="G21" s="6" t="s">
        <v>22</v>
      </c>
      <c r="H21" s="1">
        <v>-0.19800000000000001</v>
      </c>
      <c r="I21" s="6">
        <v>-0.53400000000000003</v>
      </c>
      <c r="J21" s="6">
        <v>3314</v>
      </c>
      <c r="K21" s="1">
        <v>3.0000000000000001E-3</v>
      </c>
      <c r="L21" s="6">
        <v>20</v>
      </c>
    </row>
    <row r="22" spans="1:12" x14ac:dyDescent="0.35">
      <c r="A22" s="6" t="s">
        <v>86</v>
      </c>
      <c r="B22" s="6" t="s">
        <v>85</v>
      </c>
      <c r="C22" s="6" t="s">
        <v>113</v>
      </c>
      <c r="D22" s="6">
        <v>18052.39</v>
      </c>
      <c r="E22" s="6">
        <v>18575.91</v>
      </c>
      <c r="F22" s="6">
        <v>619.20000000000005</v>
      </c>
      <c r="G22" s="1">
        <v>2.8999999999999998E-2</v>
      </c>
      <c r="H22" s="1">
        <v>-0.20300000000000001</v>
      </c>
      <c r="I22" s="6">
        <v>-0.53700000000000003</v>
      </c>
      <c r="J22" s="6">
        <v>2582</v>
      </c>
      <c r="K22" s="1">
        <v>2E-3</v>
      </c>
      <c r="L22" s="6">
        <v>21</v>
      </c>
    </row>
    <row r="23" spans="1:12" x14ac:dyDescent="0.35">
      <c r="A23" s="6" t="s">
        <v>41</v>
      </c>
      <c r="B23" s="6" t="s">
        <v>68</v>
      </c>
      <c r="C23" s="6" t="s">
        <v>112</v>
      </c>
      <c r="D23" s="6">
        <v>21301.68</v>
      </c>
      <c r="E23" s="6">
        <v>21301.68</v>
      </c>
      <c r="F23" s="6">
        <v>760.77</v>
      </c>
      <c r="G23" s="6" t="s">
        <v>22</v>
      </c>
      <c r="H23" s="1">
        <v>-8.5999999999999993E-2</v>
      </c>
      <c r="I23" s="6">
        <v>-0.46899999999999997</v>
      </c>
      <c r="J23" s="6">
        <v>2543</v>
      </c>
      <c r="K23" s="1">
        <v>2E-3</v>
      </c>
      <c r="L23" s="6">
        <v>22</v>
      </c>
    </row>
    <row r="24" spans="1:12" x14ac:dyDescent="0.35">
      <c r="A24" s="6" t="s">
        <v>66</v>
      </c>
      <c r="B24" s="6" t="s">
        <v>65</v>
      </c>
      <c r="C24" s="6" t="s">
        <v>115</v>
      </c>
      <c r="D24" s="6">
        <v>32145.350000000002</v>
      </c>
      <c r="E24" s="6">
        <v>32145.350000000002</v>
      </c>
      <c r="F24" s="6">
        <v>574.02</v>
      </c>
      <c r="G24" s="6" t="s">
        <v>22</v>
      </c>
      <c r="H24" s="1">
        <v>0.38</v>
      </c>
      <c r="I24" s="6">
        <v>-0.19899999999999998</v>
      </c>
      <c r="J24" s="6">
        <v>1765</v>
      </c>
      <c r="K24" s="1">
        <v>2E-3</v>
      </c>
      <c r="L24" s="6">
        <v>23</v>
      </c>
    </row>
    <row r="25" spans="1:12" x14ac:dyDescent="0.35">
      <c r="A25" s="6" t="s">
        <v>84</v>
      </c>
      <c r="B25" s="6" t="s">
        <v>83</v>
      </c>
      <c r="C25" s="6" t="s">
        <v>112</v>
      </c>
      <c r="D25" s="6">
        <v>19997.05</v>
      </c>
      <c r="E25" s="6">
        <v>19997.05</v>
      </c>
      <c r="F25" s="6">
        <v>714.18</v>
      </c>
      <c r="G25" s="6" t="s">
        <v>22</v>
      </c>
      <c r="H25" s="1">
        <v>-0.14199999999999999</v>
      </c>
      <c r="I25" s="6">
        <v>-0.501</v>
      </c>
      <c r="J25" s="6">
        <v>1594</v>
      </c>
      <c r="K25" s="1">
        <v>1E-3</v>
      </c>
      <c r="L25" s="6">
        <v>24</v>
      </c>
    </row>
    <row r="26" spans="1:12" x14ac:dyDescent="0.35">
      <c r="A26" s="6" t="s">
        <v>72</v>
      </c>
      <c r="B26" s="6" t="s">
        <v>71</v>
      </c>
      <c r="C26" s="6" t="s">
        <v>106</v>
      </c>
      <c r="D26" s="6">
        <v>19390.990000000002</v>
      </c>
      <c r="E26" s="6">
        <v>19875.760000000002</v>
      </c>
      <c r="F26" s="6">
        <v>662.53</v>
      </c>
      <c r="G26" s="1">
        <v>2.5000000000000001E-2</v>
      </c>
      <c r="H26" s="1">
        <v>-0.14699999999999999</v>
      </c>
      <c r="I26" s="6">
        <v>-0.505</v>
      </c>
      <c r="J26" s="6">
        <v>1289</v>
      </c>
      <c r="K26" s="1">
        <v>1E-3</v>
      </c>
      <c r="L26" s="6">
        <v>25</v>
      </c>
    </row>
    <row r="27" spans="1:12" x14ac:dyDescent="0.35">
      <c r="A27" s="6" t="s">
        <v>75</v>
      </c>
      <c r="B27" s="6" t="s">
        <v>74</v>
      </c>
      <c r="C27" s="6" t="s">
        <v>112</v>
      </c>
      <c r="D27" s="6">
        <v>18172.650000000001</v>
      </c>
      <c r="E27" s="6">
        <v>18172.650000000001</v>
      </c>
      <c r="F27" s="6">
        <v>649.02</v>
      </c>
      <c r="G27" s="6" t="s">
        <v>22</v>
      </c>
      <c r="H27" s="1">
        <v>-0.22</v>
      </c>
      <c r="I27" s="6">
        <v>-0.54700000000000004</v>
      </c>
      <c r="J27" s="6">
        <v>785</v>
      </c>
      <c r="K27" s="1">
        <v>1E-3</v>
      </c>
      <c r="L27" s="6">
        <v>26</v>
      </c>
    </row>
    <row r="28" spans="1:12" x14ac:dyDescent="0.35">
      <c r="A28" s="6" t="s">
        <v>61</v>
      </c>
      <c r="B28" s="6" t="s">
        <v>60</v>
      </c>
      <c r="C28" s="6" t="s">
        <v>113</v>
      </c>
      <c r="D28" s="6">
        <v>17502.850000000002</v>
      </c>
      <c r="E28" s="6">
        <v>17502.850000000002</v>
      </c>
      <c r="F28" s="6">
        <v>583.42999999999995</v>
      </c>
      <c r="G28" s="6" t="s">
        <v>22</v>
      </c>
      <c r="H28" s="1">
        <v>-0.249</v>
      </c>
      <c r="I28" s="6">
        <v>-0.56399999999999995</v>
      </c>
      <c r="J28" s="6">
        <v>457</v>
      </c>
      <c r="K28" s="6" t="s">
        <v>22</v>
      </c>
      <c r="L28" s="6">
        <v>27</v>
      </c>
    </row>
    <row r="29" spans="1:12" x14ac:dyDescent="0.35">
      <c r="A29" s="6" t="s">
        <v>35</v>
      </c>
      <c r="B29" s="6" t="s">
        <v>70</v>
      </c>
      <c r="C29" s="6" t="s">
        <v>114</v>
      </c>
      <c r="D29" s="6">
        <v>17640.75</v>
      </c>
      <c r="E29" s="6">
        <v>18152.330000000002</v>
      </c>
      <c r="F29" s="6">
        <v>648.29999999999995</v>
      </c>
      <c r="G29" s="1">
        <v>2.8999999999999998E-2</v>
      </c>
      <c r="H29" s="1">
        <v>-0.221</v>
      </c>
      <c r="I29" s="6">
        <v>-0.54700000000000004</v>
      </c>
      <c r="J29" s="6">
        <v>272</v>
      </c>
      <c r="K29" s="6" t="s">
        <v>22</v>
      </c>
      <c r="L29" s="6">
        <v>28</v>
      </c>
    </row>
    <row r="30" spans="1:12" x14ac:dyDescent="0.35">
      <c r="A30" s="6" t="s">
        <v>78</v>
      </c>
      <c r="B30" s="6" t="s">
        <v>77</v>
      </c>
      <c r="C30" s="6" t="s">
        <v>113</v>
      </c>
      <c r="D30" s="6">
        <v>22650.93</v>
      </c>
      <c r="E30" s="6">
        <v>23556.959999999999</v>
      </c>
      <c r="F30" s="6">
        <v>785.23</v>
      </c>
      <c r="G30" s="1">
        <v>0.04</v>
      </c>
      <c r="H30" s="1">
        <v>1.1000000000000001E-2</v>
      </c>
      <c r="I30" s="6">
        <v>-0.41299999999999998</v>
      </c>
      <c r="J30" s="6">
        <v>243</v>
      </c>
      <c r="K30" s="6" t="s">
        <v>22</v>
      </c>
      <c r="L30" s="6">
        <v>29</v>
      </c>
    </row>
    <row r="31" spans="1:12" x14ac:dyDescent="0.35">
      <c r="A31" s="6" t="s">
        <v>80</v>
      </c>
      <c r="B31" s="6" t="s">
        <v>79</v>
      </c>
      <c r="C31" s="6" t="s">
        <v>112</v>
      </c>
      <c r="D31" s="6">
        <v>20068.87</v>
      </c>
      <c r="E31" s="6">
        <v>20670.939999999999</v>
      </c>
      <c r="F31" s="6">
        <v>738.25</v>
      </c>
      <c r="G31" s="1">
        <v>0.03</v>
      </c>
      <c r="H31" s="1">
        <v>-0.113</v>
      </c>
      <c r="I31" s="6">
        <v>-0.48499999999999999</v>
      </c>
      <c r="J31" s="6">
        <v>164</v>
      </c>
      <c r="K31" s="6" t="s">
        <v>22</v>
      </c>
      <c r="L31" s="6">
        <v>30</v>
      </c>
    </row>
    <row r="32" spans="1:12" x14ac:dyDescent="0.35">
      <c r="A32" s="6" t="s">
        <v>75</v>
      </c>
      <c r="B32" s="6" t="s">
        <v>74</v>
      </c>
      <c r="C32" s="6" t="s">
        <v>111</v>
      </c>
      <c r="D32" s="6">
        <v>21762.49</v>
      </c>
      <c r="E32" s="6">
        <v>22415.360000000001</v>
      </c>
      <c r="F32" s="6">
        <v>747.18</v>
      </c>
      <c r="G32" s="1">
        <v>0.03</v>
      </c>
      <c r="H32" s="1">
        <v>-3.7999999999999999E-2</v>
      </c>
      <c r="I32" s="6">
        <v>-0.441</v>
      </c>
      <c r="J32" s="6">
        <v>122</v>
      </c>
      <c r="K32" s="6" t="s">
        <v>22</v>
      </c>
      <c r="L32" s="6">
        <v>31</v>
      </c>
    </row>
    <row r="33" spans="1:12" x14ac:dyDescent="0.35">
      <c r="A33" s="6" t="s">
        <v>88</v>
      </c>
      <c r="B33" s="6" t="s">
        <v>110</v>
      </c>
      <c r="C33" s="6" t="s">
        <v>109</v>
      </c>
      <c r="D33" s="6">
        <v>20830</v>
      </c>
      <c r="E33" s="6">
        <v>21250</v>
      </c>
      <c r="F33" s="6">
        <v>758.93</v>
      </c>
      <c r="G33" s="1">
        <v>0.02</v>
      </c>
      <c r="H33" s="1">
        <v>-8.8000000000000009E-2</v>
      </c>
      <c r="I33" s="6">
        <v>-0.47</v>
      </c>
      <c r="J33" s="6">
        <v>86</v>
      </c>
      <c r="K33" s="6" t="s">
        <v>22</v>
      </c>
      <c r="L33" s="6">
        <v>32</v>
      </c>
    </row>
    <row r="34" spans="1:12" x14ac:dyDescent="0.35">
      <c r="A34" s="6" t="s">
        <v>72</v>
      </c>
      <c r="B34" s="6" t="s">
        <v>71</v>
      </c>
      <c r="C34" s="6" t="s">
        <v>105</v>
      </c>
      <c r="D34" s="6">
        <v>33403.120000000003</v>
      </c>
      <c r="E34" s="6">
        <v>34238.199999999997</v>
      </c>
      <c r="F34" s="6">
        <v>570.64</v>
      </c>
      <c r="G34" s="1">
        <v>2.5000000000000001E-2</v>
      </c>
      <c r="H34" s="1">
        <v>0.47</v>
      </c>
      <c r="I34" s="6">
        <v>-0.14599999999999999</v>
      </c>
      <c r="J34" s="6">
        <v>55</v>
      </c>
      <c r="K34" s="6" t="s">
        <v>22</v>
      </c>
      <c r="L34" s="6">
        <v>33</v>
      </c>
    </row>
    <row r="35" spans="1:12" x14ac:dyDescent="0.35">
      <c r="A35" s="6" t="s">
        <v>66</v>
      </c>
      <c r="B35" s="6" t="s">
        <v>65</v>
      </c>
      <c r="C35" s="6" t="s">
        <v>105</v>
      </c>
      <c r="D35" s="6">
        <v>32447.43</v>
      </c>
      <c r="E35" s="6">
        <v>32447.43</v>
      </c>
      <c r="F35" s="6">
        <v>540.79</v>
      </c>
      <c r="G35" s="6" t="s">
        <v>22</v>
      </c>
      <c r="H35" s="1">
        <v>0.39299999999999996</v>
      </c>
      <c r="I35" s="6">
        <v>-0.191</v>
      </c>
      <c r="J35" s="6">
        <v>52</v>
      </c>
      <c r="K35" s="6" t="s">
        <v>22</v>
      </c>
      <c r="L35" s="6">
        <v>34</v>
      </c>
    </row>
    <row r="36" spans="1:12" x14ac:dyDescent="0.35">
      <c r="A36" s="6" t="s">
        <v>108</v>
      </c>
      <c r="B36" s="6" t="s">
        <v>107</v>
      </c>
      <c r="C36" s="6" t="s">
        <v>106</v>
      </c>
      <c r="D36" s="6">
        <v>17350.510000000002</v>
      </c>
      <c r="E36" s="6">
        <v>17350.510000000002</v>
      </c>
      <c r="F36" s="6">
        <v>578.35</v>
      </c>
      <c r="G36" s="6" t="s">
        <v>22</v>
      </c>
      <c r="H36" s="1">
        <v>-0.255</v>
      </c>
      <c r="I36" s="6">
        <v>-0.56700000000000006</v>
      </c>
      <c r="J36" s="6">
        <v>7</v>
      </c>
      <c r="K36" s="6" t="s">
        <v>22</v>
      </c>
      <c r="L36" s="6">
        <v>35</v>
      </c>
    </row>
    <row r="37" spans="1:12" x14ac:dyDescent="0.35">
      <c r="A37" s="6" t="s">
        <v>61</v>
      </c>
      <c r="B37" s="6" t="s">
        <v>60</v>
      </c>
      <c r="C37" s="6" t="s">
        <v>105</v>
      </c>
      <c r="D37" s="6">
        <v>20158.52</v>
      </c>
      <c r="E37" s="6">
        <v>20158.52</v>
      </c>
      <c r="F37" s="6">
        <v>335.98</v>
      </c>
      <c r="G37" s="6" t="s">
        <v>22</v>
      </c>
      <c r="H37" s="1">
        <v>-0.13500000000000001</v>
      </c>
      <c r="I37" s="6">
        <v>-0.49700000000000005</v>
      </c>
      <c r="J37" s="6">
        <v>4</v>
      </c>
      <c r="K37" s="6" t="s">
        <v>22</v>
      </c>
      <c r="L37" s="6">
        <v>36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38E06-8CAD-4442-BCA4-CC8358A4C088}">
  <dimension ref="A1:M7"/>
  <sheetViews>
    <sheetView topLeftCell="C1" workbookViewId="0">
      <selection activeCell="M4" sqref="M4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6" t="s">
        <v>58</v>
      </c>
      <c r="B2" s="6" t="s">
        <v>57</v>
      </c>
      <c r="C2" s="6" t="s">
        <v>48</v>
      </c>
      <c r="D2" s="6">
        <v>20985.68</v>
      </c>
      <c r="E2" s="6">
        <v>21594.260000000002</v>
      </c>
      <c r="F2" s="6">
        <v>719.81</v>
      </c>
      <c r="G2" s="1">
        <v>2.8999999999999998E-2</v>
      </c>
      <c r="H2" s="1">
        <v>7.2999999999999995E-2</v>
      </c>
      <c r="I2" s="6" t="s">
        <v>15</v>
      </c>
      <c r="J2" s="6">
        <v>40293</v>
      </c>
      <c r="K2" s="1">
        <v>0.68599999999999994</v>
      </c>
      <c r="L2" s="6">
        <v>1</v>
      </c>
    </row>
    <row r="3" spans="1:13" x14ac:dyDescent="0.35">
      <c r="A3" s="6" t="s">
        <v>16</v>
      </c>
      <c r="B3" s="6" t="s">
        <v>56</v>
      </c>
      <c r="C3" s="6" t="s">
        <v>55</v>
      </c>
      <c r="D3" s="6">
        <v>20330.68</v>
      </c>
      <c r="E3" s="6">
        <v>20920.27</v>
      </c>
      <c r="F3" s="6">
        <v>747.15</v>
      </c>
      <c r="G3" s="1">
        <v>2.8999999999999998E-2</v>
      </c>
      <c r="H3" s="1">
        <v>0.04</v>
      </c>
      <c r="I3" s="6">
        <v>-3.1E-2</v>
      </c>
      <c r="J3" s="6">
        <v>8995</v>
      </c>
      <c r="K3" s="1">
        <v>0.153</v>
      </c>
      <c r="L3" s="6">
        <v>2</v>
      </c>
    </row>
    <row r="4" spans="1:13" x14ac:dyDescent="0.35">
      <c r="A4" s="7" t="s">
        <v>39</v>
      </c>
      <c r="B4" s="7" t="s">
        <v>54</v>
      </c>
      <c r="C4" s="7" t="s">
        <v>53</v>
      </c>
      <c r="D4" s="7">
        <v>20121.97</v>
      </c>
      <c r="E4" s="7">
        <v>20121.97</v>
      </c>
      <c r="F4" s="7">
        <v>670.73</v>
      </c>
      <c r="G4" s="7" t="s">
        <v>22</v>
      </c>
      <c r="H4" s="7" t="s">
        <v>22</v>
      </c>
      <c r="I4" s="7">
        <v>-6.8000000000000005E-2</v>
      </c>
      <c r="J4" s="7">
        <v>7719</v>
      </c>
      <c r="K4" s="5">
        <v>0.13100000000000001</v>
      </c>
      <c r="L4" s="7">
        <v>3</v>
      </c>
      <c r="M4" s="8">
        <f>+F2/F4-1</f>
        <v>7.3174004442920326E-2</v>
      </c>
    </row>
    <row r="5" spans="1:13" x14ac:dyDescent="0.35">
      <c r="A5" s="6" t="s">
        <v>25</v>
      </c>
      <c r="B5" s="6" t="s">
        <v>52</v>
      </c>
      <c r="C5" s="6" t="s">
        <v>51</v>
      </c>
      <c r="D5" s="6">
        <v>36029.07</v>
      </c>
      <c r="E5" s="6">
        <v>37037.89</v>
      </c>
      <c r="F5" s="6">
        <v>1234.5999999999999</v>
      </c>
      <c r="G5" s="1">
        <v>2.7999999999999997E-2</v>
      </c>
      <c r="H5" s="1">
        <v>0.84099999999999997</v>
      </c>
      <c r="I5" s="6">
        <v>0.71499999999999997</v>
      </c>
      <c r="J5" s="6">
        <v>1294</v>
      </c>
      <c r="K5" s="1">
        <v>2.2000000000000002E-2</v>
      </c>
      <c r="L5" s="6">
        <v>4</v>
      </c>
    </row>
    <row r="6" spans="1:13" x14ac:dyDescent="0.35">
      <c r="A6" s="6" t="s">
        <v>28</v>
      </c>
      <c r="B6" s="6" t="s">
        <v>49</v>
      </c>
      <c r="C6" s="6" t="s">
        <v>50</v>
      </c>
      <c r="D6" s="6">
        <v>19945.11</v>
      </c>
      <c r="E6" s="6">
        <v>19945.11</v>
      </c>
      <c r="F6" s="6">
        <v>712.33</v>
      </c>
      <c r="G6" s="6" t="s">
        <v>22</v>
      </c>
      <c r="H6" s="1">
        <v>-9.0000000000000011E-3</v>
      </c>
      <c r="I6" s="6">
        <v>-7.5999999999999998E-2</v>
      </c>
      <c r="J6" s="6">
        <v>265</v>
      </c>
      <c r="K6" s="1">
        <v>5.0000000000000001E-3</v>
      </c>
      <c r="L6" s="6">
        <v>5</v>
      </c>
    </row>
    <row r="7" spans="1:13" x14ac:dyDescent="0.35">
      <c r="A7" s="6" t="s">
        <v>28</v>
      </c>
      <c r="B7" s="6" t="s">
        <v>49</v>
      </c>
      <c r="C7" s="6" t="s">
        <v>48</v>
      </c>
      <c r="D7" s="6">
        <v>20574.95</v>
      </c>
      <c r="E7" s="6">
        <v>20574.95</v>
      </c>
      <c r="F7" s="6">
        <v>685.83</v>
      </c>
      <c r="G7" s="6" t="s">
        <v>22</v>
      </c>
      <c r="H7" s="1">
        <v>2.3E-2</v>
      </c>
      <c r="I7" s="6">
        <v>-4.7E-2</v>
      </c>
      <c r="J7" s="6">
        <v>199</v>
      </c>
      <c r="K7" s="1">
        <v>3.0000000000000001E-3</v>
      </c>
      <c r="L7" s="6">
        <v>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D4060-7FDB-4031-BBB8-9B05E21B907C}">
  <dimension ref="A1:M8"/>
  <sheetViews>
    <sheetView topLeftCell="B1" workbookViewId="0">
      <selection activeCell="M4" sqref="M4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6" t="s">
        <v>58</v>
      </c>
      <c r="B2" s="6" t="s">
        <v>57</v>
      </c>
      <c r="C2" s="6" t="s">
        <v>101</v>
      </c>
      <c r="D2" s="6">
        <v>33359.78</v>
      </c>
      <c r="E2" s="6">
        <v>34327.21</v>
      </c>
      <c r="F2" s="6">
        <v>1144.24</v>
      </c>
      <c r="G2" s="1">
        <v>2.8999999999999998E-2</v>
      </c>
      <c r="H2" s="1">
        <v>-3.0000000000000001E-3</v>
      </c>
      <c r="I2" s="6" t="s">
        <v>15</v>
      </c>
      <c r="J2" s="6">
        <v>105333</v>
      </c>
      <c r="K2" s="1">
        <v>0.59799999999999998</v>
      </c>
      <c r="L2" s="6">
        <v>1</v>
      </c>
    </row>
    <row r="3" spans="1:13" x14ac:dyDescent="0.35">
      <c r="A3" s="6" t="s">
        <v>16</v>
      </c>
      <c r="B3" s="6" t="s">
        <v>56</v>
      </c>
      <c r="C3" s="6" t="s">
        <v>104</v>
      </c>
      <c r="D3" s="6">
        <v>32695.440000000002</v>
      </c>
      <c r="E3" s="6">
        <v>33643.599999999999</v>
      </c>
      <c r="F3" s="6">
        <v>1201.56</v>
      </c>
      <c r="G3" s="1">
        <v>2.8999999999999998E-2</v>
      </c>
      <c r="H3" s="1">
        <v>-2.3E-2</v>
      </c>
      <c r="I3" s="6">
        <v>-0.02</v>
      </c>
      <c r="J3" s="6">
        <v>22945</v>
      </c>
      <c r="K3" s="1">
        <v>0.13</v>
      </c>
      <c r="L3" s="6">
        <v>2</v>
      </c>
    </row>
    <row r="4" spans="1:13" x14ac:dyDescent="0.35">
      <c r="A4" s="7" t="s">
        <v>39</v>
      </c>
      <c r="B4" s="7" t="s">
        <v>54</v>
      </c>
      <c r="C4" s="7" t="s">
        <v>102</v>
      </c>
      <c r="D4" s="7">
        <v>34429.120000000003</v>
      </c>
      <c r="E4" s="7">
        <v>34429.120000000003</v>
      </c>
      <c r="F4" s="7">
        <v>1147.6400000000001</v>
      </c>
      <c r="G4" s="7" t="s">
        <v>22</v>
      </c>
      <c r="H4" s="7" t="s">
        <v>22</v>
      </c>
      <c r="I4" s="7">
        <v>3.0000000000000001E-3</v>
      </c>
      <c r="J4" s="7">
        <v>22395</v>
      </c>
      <c r="K4" s="5">
        <v>0.127</v>
      </c>
      <c r="L4" s="7">
        <v>3</v>
      </c>
      <c r="M4" s="10">
        <f>+F2/F4-1</f>
        <v>-2.9626015126695826E-3</v>
      </c>
    </row>
    <row r="5" spans="1:13" x14ac:dyDescent="0.35">
      <c r="A5" s="6" t="s">
        <v>23</v>
      </c>
      <c r="B5" s="6" t="s">
        <v>103</v>
      </c>
      <c r="C5" s="6" t="s">
        <v>102</v>
      </c>
      <c r="D5" s="6">
        <v>32095.170000000002</v>
      </c>
      <c r="E5" s="6">
        <v>33122.22</v>
      </c>
      <c r="F5" s="6">
        <v>1104.07</v>
      </c>
      <c r="G5" s="1">
        <v>3.2000000000000001E-2</v>
      </c>
      <c r="H5" s="1">
        <v>-3.7999999999999999E-2</v>
      </c>
      <c r="I5" s="6">
        <v>-3.5000000000000003E-2</v>
      </c>
      <c r="J5" s="6">
        <v>14573</v>
      </c>
      <c r="K5" s="1">
        <v>8.3000000000000004E-2</v>
      </c>
      <c r="L5" s="6">
        <v>4</v>
      </c>
    </row>
    <row r="6" spans="1:13" x14ac:dyDescent="0.35">
      <c r="A6" s="6" t="s">
        <v>25</v>
      </c>
      <c r="B6" s="6" t="s">
        <v>52</v>
      </c>
      <c r="C6" s="6" t="s">
        <v>51</v>
      </c>
      <c r="D6" s="6">
        <v>36029.07</v>
      </c>
      <c r="E6" s="6">
        <v>37037.89</v>
      </c>
      <c r="F6" s="6">
        <v>1234.5999999999999</v>
      </c>
      <c r="G6" s="1">
        <v>2.7999999999999997E-2</v>
      </c>
      <c r="H6" s="1">
        <v>7.5999999999999998E-2</v>
      </c>
      <c r="I6" s="6">
        <v>7.9000000000000001E-2</v>
      </c>
      <c r="J6" s="6">
        <v>10313</v>
      </c>
      <c r="K6" s="1">
        <v>5.9000000000000004E-2</v>
      </c>
      <c r="L6" s="6">
        <v>5</v>
      </c>
    </row>
    <row r="7" spans="1:13" x14ac:dyDescent="0.35">
      <c r="A7" s="6" t="s">
        <v>28</v>
      </c>
      <c r="B7" s="6" t="s">
        <v>49</v>
      </c>
      <c r="C7" s="6" t="s">
        <v>101</v>
      </c>
      <c r="D7" s="6">
        <v>33443.870000000003</v>
      </c>
      <c r="E7" s="6">
        <v>33443.870000000003</v>
      </c>
      <c r="F7" s="6">
        <v>1114.8</v>
      </c>
      <c r="G7" s="6" t="s">
        <v>22</v>
      </c>
      <c r="H7" s="1">
        <v>-2.8999999999999998E-2</v>
      </c>
      <c r="I7" s="6">
        <v>-2.6000000000000002E-2</v>
      </c>
      <c r="J7" s="6">
        <v>444</v>
      </c>
      <c r="K7" s="1">
        <v>3.0000000000000001E-3</v>
      </c>
      <c r="L7" s="6">
        <v>6</v>
      </c>
    </row>
    <row r="8" spans="1:13" x14ac:dyDescent="0.35">
      <c r="A8" s="6" t="s">
        <v>28</v>
      </c>
      <c r="B8" s="6" t="s">
        <v>49</v>
      </c>
      <c r="C8" s="6" t="s">
        <v>100</v>
      </c>
      <c r="D8" s="6">
        <v>31656.62</v>
      </c>
      <c r="E8" s="6">
        <v>31656.62</v>
      </c>
      <c r="F8" s="6">
        <v>1130.5899999999999</v>
      </c>
      <c r="G8" s="6" t="s">
        <v>22</v>
      </c>
      <c r="H8" s="1">
        <v>-8.1000000000000003E-2</v>
      </c>
      <c r="I8" s="6">
        <v>-7.8E-2</v>
      </c>
      <c r="J8" s="6">
        <v>98</v>
      </c>
      <c r="K8" s="1">
        <v>1E-3</v>
      </c>
      <c r="L8" s="6">
        <v>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2F3E-BCED-4798-95CF-EC845E55278F}">
  <dimension ref="A1:M8"/>
  <sheetViews>
    <sheetView topLeftCell="C1" workbookViewId="0">
      <selection activeCell="M3" sqref="M3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9" t="s">
        <v>58</v>
      </c>
      <c r="B2" s="9" t="s">
        <v>57</v>
      </c>
      <c r="C2" s="9" t="s">
        <v>125</v>
      </c>
      <c r="D2" s="9">
        <v>41754.61</v>
      </c>
      <c r="E2" s="9">
        <v>42965.49</v>
      </c>
      <c r="F2" s="9">
        <v>1432.18</v>
      </c>
      <c r="G2" s="3">
        <v>2.8999999999999998E-2</v>
      </c>
      <c r="H2" s="3">
        <v>5.0000000000000001E-3</v>
      </c>
      <c r="I2" s="9" t="s">
        <v>15</v>
      </c>
      <c r="J2" s="9">
        <v>104593</v>
      </c>
      <c r="K2" s="3">
        <v>0.61799999999999999</v>
      </c>
      <c r="L2" s="9">
        <v>1</v>
      </c>
    </row>
    <row r="3" spans="1:13" x14ac:dyDescent="0.35">
      <c r="A3" s="7" t="s">
        <v>39</v>
      </c>
      <c r="B3" s="7" t="s">
        <v>54</v>
      </c>
      <c r="C3" s="7" t="s">
        <v>128</v>
      </c>
      <c r="D3" s="7">
        <v>42753.919999999998</v>
      </c>
      <c r="E3" s="7">
        <v>42753.919999999998</v>
      </c>
      <c r="F3" s="7">
        <v>1425.13</v>
      </c>
      <c r="G3" s="7" t="s">
        <v>22</v>
      </c>
      <c r="H3" s="7" t="s">
        <v>22</v>
      </c>
      <c r="I3" s="7">
        <v>-5.0000000000000001E-3</v>
      </c>
      <c r="J3" s="7">
        <v>21505</v>
      </c>
      <c r="K3" s="5">
        <v>0.127</v>
      </c>
      <c r="L3" s="7">
        <v>2</v>
      </c>
      <c r="M3" s="10">
        <f>+F2/F3-1</f>
        <v>4.9469171233500475E-3</v>
      </c>
    </row>
    <row r="4" spans="1:13" x14ac:dyDescent="0.35">
      <c r="A4" s="6" t="s">
        <v>16</v>
      </c>
      <c r="B4" s="6" t="s">
        <v>56</v>
      </c>
      <c r="C4" s="6" t="s">
        <v>129</v>
      </c>
      <c r="D4" s="6">
        <v>40741.49</v>
      </c>
      <c r="E4" s="6">
        <v>41922.99</v>
      </c>
      <c r="F4" s="6">
        <v>1497.25</v>
      </c>
      <c r="G4" s="1">
        <v>2.8999999999999998E-2</v>
      </c>
      <c r="H4" s="1">
        <v>-1.9E-2</v>
      </c>
      <c r="I4" s="6">
        <v>-2.4E-2</v>
      </c>
      <c r="J4" s="6">
        <v>20940</v>
      </c>
      <c r="K4" s="1">
        <v>0.124</v>
      </c>
      <c r="L4" s="6">
        <v>3</v>
      </c>
    </row>
    <row r="5" spans="1:13" x14ac:dyDescent="0.35">
      <c r="A5" s="6" t="s">
        <v>23</v>
      </c>
      <c r="B5" s="6" t="s">
        <v>103</v>
      </c>
      <c r="C5" s="6" t="s">
        <v>128</v>
      </c>
      <c r="D5" s="6">
        <v>40171.660000000003</v>
      </c>
      <c r="E5" s="6">
        <v>41457.15</v>
      </c>
      <c r="F5" s="6">
        <v>1381.9</v>
      </c>
      <c r="G5" s="1">
        <v>3.2000000000000001E-2</v>
      </c>
      <c r="H5" s="1">
        <v>-0.03</v>
      </c>
      <c r="I5" s="6">
        <v>-3.5000000000000003E-2</v>
      </c>
      <c r="J5" s="6">
        <v>14436</v>
      </c>
      <c r="K5" s="1">
        <v>8.5000000000000006E-2</v>
      </c>
      <c r="L5" s="6">
        <v>4</v>
      </c>
    </row>
    <row r="6" spans="1:13" x14ac:dyDescent="0.35">
      <c r="A6" s="6" t="s">
        <v>25</v>
      </c>
      <c r="B6" s="6" t="s">
        <v>52</v>
      </c>
      <c r="C6" s="6" t="s">
        <v>127</v>
      </c>
      <c r="D6" s="6">
        <v>45085.15</v>
      </c>
      <c r="E6" s="6">
        <v>46347.53</v>
      </c>
      <c r="F6" s="6">
        <v>1544.92</v>
      </c>
      <c r="G6" s="1">
        <v>2.7999999999999997E-2</v>
      </c>
      <c r="H6" s="1">
        <v>8.4000000000000005E-2</v>
      </c>
      <c r="I6" s="6">
        <v>7.9000000000000001E-2</v>
      </c>
      <c r="J6" s="6">
        <v>7557</v>
      </c>
      <c r="K6" s="1">
        <v>4.4999999999999998E-2</v>
      </c>
      <c r="L6" s="6">
        <v>5</v>
      </c>
    </row>
    <row r="7" spans="1:13" x14ac:dyDescent="0.35">
      <c r="A7" s="6" t="s">
        <v>28</v>
      </c>
      <c r="B7" s="6" t="s">
        <v>49</v>
      </c>
      <c r="C7" s="6" t="s">
        <v>126</v>
      </c>
      <c r="D7" s="6">
        <v>40162.620000000003</v>
      </c>
      <c r="E7" s="6">
        <v>40162.620000000003</v>
      </c>
      <c r="F7" s="6">
        <v>1434.38</v>
      </c>
      <c r="G7" s="6" t="s">
        <v>22</v>
      </c>
      <c r="H7" s="1">
        <v>-6.0999999999999999E-2</v>
      </c>
      <c r="I7" s="6">
        <v>-6.5000000000000002E-2</v>
      </c>
      <c r="J7" s="6">
        <v>96</v>
      </c>
      <c r="K7" s="1">
        <v>1E-3</v>
      </c>
      <c r="L7" s="6">
        <v>6</v>
      </c>
    </row>
    <row r="8" spans="1:13" x14ac:dyDescent="0.35">
      <c r="A8" s="6" t="s">
        <v>28</v>
      </c>
      <c r="B8" s="6" t="s">
        <v>49</v>
      </c>
      <c r="C8" s="6" t="s">
        <v>125</v>
      </c>
      <c r="D8" s="6">
        <v>41119.700000000004</v>
      </c>
      <c r="E8" s="6">
        <v>41119.700000000004</v>
      </c>
      <c r="F8" s="6">
        <v>1370.66</v>
      </c>
      <c r="G8" s="6" t="s">
        <v>22</v>
      </c>
      <c r="H8" s="1">
        <v>-3.7999999999999999E-2</v>
      </c>
      <c r="I8" s="6">
        <v>-4.2999999999999997E-2</v>
      </c>
      <c r="J8" s="6">
        <v>5</v>
      </c>
      <c r="K8" s="6" t="s">
        <v>22</v>
      </c>
      <c r="L8" s="6">
        <v>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E97CC-8706-4911-B94F-A3412EA36D48}">
  <dimension ref="A1:M5"/>
  <sheetViews>
    <sheetView topLeftCell="C1" workbookViewId="0">
      <selection activeCell="M3" sqref="M3"/>
    </sheetView>
  </sheetViews>
  <sheetFormatPr baseColWidth="10" defaultRowHeight="15.5" x14ac:dyDescent="0.35"/>
  <cols>
    <col min="1" max="1" width="22.83203125" style="6" customWidth="1"/>
    <col min="2" max="2" width="20.83203125" style="6" customWidth="1"/>
    <col min="3" max="3" width="28.83203125" style="6" customWidth="1"/>
    <col min="4" max="5" width="14.83203125" style="6" customWidth="1"/>
    <col min="6" max="6" width="12.83203125" style="6" customWidth="1"/>
    <col min="7" max="8" width="8.83203125" style="6" customWidth="1"/>
    <col min="9" max="9" width="10.83203125" style="6" customWidth="1"/>
    <col min="10" max="10" width="12.83203125" style="6" customWidth="1"/>
    <col min="11" max="11" width="8.83203125" style="6" customWidth="1"/>
    <col min="12" max="12" width="6.83203125" style="6" customWidth="1"/>
    <col min="13" max="16384" width="10.6640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x14ac:dyDescent="0.35">
      <c r="A2" s="9" t="s">
        <v>58</v>
      </c>
      <c r="B2" s="9" t="s">
        <v>57</v>
      </c>
      <c r="C2" s="9" t="s">
        <v>146</v>
      </c>
      <c r="D2" s="9">
        <v>51124.090000000004</v>
      </c>
      <c r="E2" s="9">
        <v>52606.700000000004</v>
      </c>
      <c r="F2" s="9">
        <v>1753.56</v>
      </c>
      <c r="G2" s="3">
        <v>2.8999999999999998E-2</v>
      </c>
      <c r="H2" s="3">
        <v>3.7000000000000005E-2</v>
      </c>
      <c r="I2" s="9" t="s">
        <v>15</v>
      </c>
      <c r="J2" s="9">
        <v>20297</v>
      </c>
      <c r="K2" s="3">
        <v>0.67599999999999993</v>
      </c>
      <c r="L2" s="9">
        <v>1</v>
      </c>
    </row>
    <row r="3" spans="1:13" x14ac:dyDescent="0.35">
      <c r="A3" s="7" t="s">
        <v>39</v>
      </c>
      <c r="B3" s="7" t="s">
        <v>54</v>
      </c>
      <c r="C3" s="7" t="s">
        <v>145</v>
      </c>
      <c r="D3" s="7">
        <v>50708.18</v>
      </c>
      <c r="E3" s="7">
        <v>50708.18</v>
      </c>
      <c r="F3" s="7">
        <v>1690.27</v>
      </c>
      <c r="G3" s="7" t="s">
        <v>22</v>
      </c>
      <c r="H3" s="7" t="s">
        <v>22</v>
      </c>
      <c r="I3" s="7">
        <v>-3.6000000000000004E-2</v>
      </c>
      <c r="J3" s="7">
        <v>4800</v>
      </c>
      <c r="K3" s="5">
        <v>0.16</v>
      </c>
      <c r="L3" s="7">
        <v>2</v>
      </c>
      <c r="M3" s="8">
        <f>+F2/F3-1</f>
        <v>3.7443722008909885E-2</v>
      </c>
    </row>
    <row r="4" spans="1:13" x14ac:dyDescent="0.35">
      <c r="A4" s="6" t="s">
        <v>16</v>
      </c>
      <c r="B4" s="6" t="s">
        <v>56</v>
      </c>
      <c r="C4" s="6" t="s">
        <v>144</v>
      </c>
      <c r="D4" s="6">
        <v>49946.720000000001</v>
      </c>
      <c r="E4" s="6">
        <v>51395.18</v>
      </c>
      <c r="F4" s="6">
        <v>1835.54</v>
      </c>
      <c r="G4" s="1">
        <v>2.8999999999999998E-2</v>
      </c>
      <c r="H4" s="1">
        <v>1.3999999999999999E-2</v>
      </c>
      <c r="I4" s="6">
        <v>-2.3E-2</v>
      </c>
      <c r="J4" s="6">
        <v>4471</v>
      </c>
      <c r="K4" s="1">
        <v>0.14899999999999999</v>
      </c>
      <c r="L4" s="6">
        <v>3</v>
      </c>
    </row>
    <row r="5" spans="1:13" x14ac:dyDescent="0.35">
      <c r="A5" s="6" t="s">
        <v>25</v>
      </c>
      <c r="B5" s="6" t="s">
        <v>52</v>
      </c>
      <c r="C5" s="6" t="s">
        <v>51</v>
      </c>
      <c r="D5" s="6">
        <v>36029.07</v>
      </c>
      <c r="E5" s="6">
        <v>37037.89</v>
      </c>
      <c r="F5" s="6">
        <v>1234.5999999999999</v>
      </c>
      <c r="G5" s="1">
        <v>2.7999999999999997E-2</v>
      </c>
      <c r="H5" s="1">
        <v>-0.27</v>
      </c>
      <c r="I5" s="6">
        <v>-0.29600000000000004</v>
      </c>
      <c r="J5" s="6">
        <v>459</v>
      </c>
      <c r="K5" s="1">
        <v>1.4999999999999999E-2</v>
      </c>
      <c r="L5" s="6">
        <v>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A2" sqref="A2"/>
    </sheetView>
  </sheetViews>
  <sheetFormatPr baseColWidth="10" defaultRowHeight="15.5" x14ac:dyDescent="0.35"/>
  <cols>
    <col min="1" max="1" width="22.83203125" customWidth="1"/>
    <col min="2" max="2" width="20.83203125" customWidth="1"/>
    <col min="3" max="3" width="28.83203125" customWidth="1"/>
    <col min="4" max="5" width="14.83203125" customWidth="1"/>
    <col min="6" max="6" width="12.83203125" customWidth="1"/>
    <col min="7" max="8" width="8.83203125" customWidth="1"/>
    <col min="9" max="9" width="10.83203125" customWidth="1"/>
    <col min="10" max="10" width="12.83203125" customWidth="1"/>
    <col min="11" max="11" width="8.83203125" customWidth="1"/>
    <col min="12" max="12" width="6.8320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x14ac:dyDescent="0.35">
      <c r="A2" t="s">
        <v>12</v>
      </c>
      <c r="B2" t="s">
        <v>13</v>
      </c>
      <c r="C2" t="s">
        <v>14</v>
      </c>
      <c r="D2">
        <v>92888.13</v>
      </c>
      <c r="E2">
        <v>95674.78</v>
      </c>
      <c r="F2">
        <v>3416.96</v>
      </c>
      <c r="G2" s="1">
        <v>0.03</v>
      </c>
      <c r="H2" s="1">
        <v>0.39</v>
      </c>
      <c r="I2" t="s">
        <v>15</v>
      </c>
      <c r="J2">
        <v>287813</v>
      </c>
      <c r="K2" s="1">
        <v>0.22699999999999998</v>
      </c>
      <c r="L2">
        <v>1</v>
      </c>
    </row>
    <row r="3" spans="1:13" x14ac:dyDescent="0.35">
      <c r="A3" t="s">
        <v>16</v>
      </c>
      <c r="B3" t="s">
        <v>17</v>
      </c>
      <c r="C3" t="s">
        <v>18</v>
      </c>
      <c r="D3">
        <v>63284.53</v>
      </c>
      <c r="E3">
        <v>64866.65</v>
      </c>
      <c r="F3">
        <v>2162.2199999999998</v>
      </c>
      <c r="G3" s="1">
        <v>2.5000000000000001E-2</v>
      </c>
      <c r="H3" s="1">
        <v>-5.7000000000000002E-2</v>
      </c>
      <c r="I3">
        <v>-0.32200000000000001</v>
      </c>
      <c r="J3">
        <v>244921</v>
      </c>
      <c r="K3" s="1">
        <v>0.193</v>
      </c>
      <c r="L3">
        <v>2</v>
      </c>
    </row>
    <row r="4" spans="1:13" x14ac:dyDescent="0.35">
      <c r="A4" t="s">
        <v>19</v>
      </c>
      <c r="B4" t="s">
        <v>20</v>
      </c>
      <c r="C4" t="s">
        <v>21</v>
      </c>
      <c r="D4">
        <v>70961.59</v>
      </c>
      <c r="E4">
        <v>70961.59</v>
      </c>
      <c r="F4">
        <v>2365.39</v>
      </c>
      <c r="G4" t="s">
        <v>22</v>
      </c>
      <c r="H4" s="1">
        <v>3.1E-2</v>
      </c>
      <c r="I4">
        <v>-0.25800000000000001</v>
      </c>
      <c r="J4">
        <v>165438</v>
      </c>
      <c r="K4" s="1">
        <v>0.13</v>
      </c>
      <c r="L4">
        <v>3</v>
      </c>
    </row>
    <row r="5" spans="1:13" x14ac:dyDescent="0.35">
      <c r="A5" t="s">
        <v>23</v>
      </c>
      <c r="B5" t="s">
        <v>24</v>
      </c>
      <c r="C5" t="s">
        <v>18</v>
      </c>
      <c r="D5">
        <v>64021.85</v>
      </c>
      <c r="E5">
        <v>64790.11</v>
      </c>
      <c r="F5">
        <v>2159.67</v>
      </c>
      <c r="G5" s="1">
        <v>1.2E-2</v>
      </c>
      <c r="H5" s="1">
        <v>-5.9000000000000004E-2</v>
      </c>
      <c r="I5">
        <v>-0.32299999999999995</v>
      </c>
      <c r="J5">
        <v>162274</v>
      </c>
      <c r="K5" s="1">
        <v>0.128</v>
      </c>
      <c r="L5">
        <v>4</v>
      </c>
    </row>
    <row r="6" spans="1:13" x14ac:dyDescent="0.35">
      <c r="A6" t="s">
        <v>25</v>
      </c>
      <c r="B6" t="s">
        <v>26</v>
      </c>
      <c r="C6" t="s">
        <v>27</v>
      </c>
      <c r="D6">
        <v>69668.41</v>
      </c>
      <c r="E6">
        <v>70713.430000000008</v>
      </c>
      <c r="F6">
        <v>2525.48</v>
      </c>
      <c r="G6" s="1">
        <v>1.4999999999999999E-2</v>
      </c>
      <c r="H6" s="1">
        <v>2.7999999999999997E-2</v>
      </c>
      <c r="I6">
        <v>-0.26100000000000001</v>
      </c>
      <c r="J6">
        <v>133162</v>
      </c>
      <c r="K6" s="1">
        <v>0.105</v>
      </c>
      <c r="L6">
        <v>5</v>
      </c>
    </row>
    <row r="7" spans="1:13" x14ac:dyDescent="0.35">
      <c r="A7" t="s">
        <v>28</v>
      </c>
      <c r="B7" t="s">
        <v>29</v>
      </c>
      <c r="C7" t="s">
        <v>30</v>
      </c>
      <c r="D7">
        <v>105506.91</v>
      </c>
      <c r="E7">
        <v>108112.93000000001</v>
      </c>
      <c r="F7">
        <v>3603.76</v>
      </c>
      <c r="G7" s="1">
        <v>2.5000000000000001E-2</v>
      </c>
      <c r="H7" s="1">
        <v>0.57100000000000006</v>
      </c>
      <c r="I7">
        <v>0.13</v>
      </c>
      <c r="J7">
        <v>108188</v>
      </c>
      <c r="K7" s="1">
        <v>8.5000000000000006E-2</v>
      </c>
      <c r="L7">
        <v>6</v>
      </c>
    </row>
    <row r="8" spans="1:13" x14ac:dyDescent="0.35">
      <c r="A8" t="s">
        <v>31</v>
      </c>
      <c r="B8" t="s">
        <v>32</v>
      </c>
      <c r="C8" t="s">
        <v>18</v>
      </c>
      <c r="D8">
        <v>63787.85</v>
      </c>
      <c r="E8">
        <v>63787.85</v>
      </c>
      <c r="F8">
        <v>2126.2600000000002</v>
      </c>
      <c r="G8" t="s">
        <v>22</v>
      </c>
      <c r="H8" s="1">
        <v>-7.2999999999999995E-2</v>
      </c>
      <c r="I8">
        <v>-0.33299999999999996</v>
      </c>
      <c r="J8">
        <v>52956</v>
      </c>
      <c r="K8" s="1">
        <v>4.2000000000000003E-2</v>
      </c>
      <c r="L8">
        <v>7</v>
      </c>
    </row>
    <row r="9" spans="1:13" x14ac:dyDescent="0.35">
      <c r="A9" s="2" t="s">
        <v>33</v>
      </c>
      <c r="B9" s="2" t="s">
        <v>34</v>
      </c>
      <c r="C9" s="2" t="s">
        <v>21</v>
      </c>
      <c r="D9" s="2">
        <v>63322</v>
      </c>
      <c r="E9" s="2">
        <v>65057</v>
      </c>
      <c r="F9" s="2">
        <v>2168.5700000000002</v>
      </c>
      <c r="G9" s="3">
        <v>2.7000000000000003E-2</v>
      </c>
      <c r="H9" s="3">
        <v>-5.5E-2</v>
      </c>
      <c r="I9" s="2">
        <v>-0.32</v>
      </c>
      <c r="J9" s="2">
        <v>44245</v>
      </c>
      <c r="K9" s="3">
        <v>3.5000000000000003E-2</v>
      </c>
      <c r="L9" s="2">
        <v>8</v>
      </c>
    </row>
    <row r="10" spans="1:13" x14ac:dyDescent="0.35">
      <c r="A10" t="s">
        <v>35</v>
      </c>
      <c r="B10" t="s">
        <v>36</v>
      </c>
      <c r="C10" t="s">
        <v>27</v>
      </c>
      <c r="D10">
        <v>68046.27</v>
      </c>
      <c r="E10">
        <v>68046.27</v>
      </c>
      <c r="F10">
        <v>2430.2199999999998</v>
      </c>
      <c r="G10" t="s">
        <v>22</v>
      </c>
      <c r="H10" s="1">
        <v>-1.1000000000000001E-2</v>
      </c>
      <c r="I10">
        <v>-0.28899999999999998</v>
      </c>
      <c r="J10">
        <v>24107</v>
      </c>
      <c r="K10" s="1">
        <v>1.9E-2</v>
      </c>
      <c r="L10">
        <v>9</v>
      </c>
    </row>
    <row r="11" spans="1:13" x14ac:dyDescent="0.35">
      <c r="A11" t="s">
        <v>37</v>
      </c>
      <c r="B11" t="s">
        <v>38</v>
      </c>
      <c r="C11" t="s">
        <v>14</v>
      </c>
      <c r="D11">
        <v>66430.2</v>
      </c>
      <c r="E11">
        <v>68090.960000000006</v>
      </c>
      <c r="F11">
        <v>2431.8200000000002</v>
      </c>
      <c r="G11" s="1">
        <v>2.5000000000000001E-2</v>
      </c>
      <c r="H11" s="1">
        <v>-1.1000000000000001E-2</v>
      </c>
      <c r="I11">
        <v>-0.28800000000000003</v>
      </c>
      <c r="J11">
        <v>16917</v>
      </c>
      <c r="K11" s="1">
        <v>1.3000000000000001E-2</v>
      </c>
      <c r="L11">
        <v>10</v>
      </c>
    </row>
    <row r="12" spans="1:13" x14ac:dyDescent="0.35">
      <c r="A12" s="4" t="s">
        <v>39</v>
      </c>
      <c r="B12" s="4" t="s">
        <v>40</v>
      </c>
      <c r="C12" s="4" t="s">
        <v>18</v>
      </c>
      <c r="D12" s="4">
        <v>68817.48</v>
      </c>
      <c r="E12" s="4">
        <v>68817.48</v>
      </c>
      <c r="F12" s="4">
        <v>2293.92</v>
      </c>
      <c r="G12" s="4" t="s">
        <v>22</v>
      </c>
      <c r="H12" s="4" t="s">
        <v>22</v>
      </c>
      <c r="I12" s="4">
        <v>-0.28100000000000003</v>
      </c>
      <c r="J12" s="4">
        <v>12071</v>
      </c>
      <c r="K12" s="5">
        <v>0.01</v>
      </c>
      <c r="L12" s="4">
        <v>11</v>
      </c>
      <c r="M12" s="10">
        <f>+F9/F12-1</f>
        <v>-5.4644451419404327E-2</v>
      </c>
    </row>
    <row r="13" spans="1:13" x14ac:dyDescent="0.35">
      <c r="A13" t="s">
        <v>41</v>
      </c>
      <c r="B13" t="s">
        <v>42</v>
      </c>
      <c r="C13" t="s">
        <v>21</v>
      </c>
      <c r="D13">
        <v>69344.040000000008</v>
      </c>
      <c r="E13">
        <v>69690.759999999995</v>
      </c>
      <c r="F13">
        <v>2323.0300000000002</v>
      </c>
      <c r="G13" s="1">
        <v>5.0000000000000001E-3</v>
      </c>
      <c r="H13" s="1">
        <v>1.3000000000000001E-2</v>
      </c>
      <c r="I13">
        <v>-0.27200000000000002</v>
      </c>
      <c r="J13">
        <v>5690</v>
      </c>
      <c r="K13" s="1">
        <v>4.0000000000000001E-3</v>
      </c>
      <c r="L13">
        <v>12</v>
      </c>
    </row>
    <row r="14" spans="1:13" x14ac:dyDescent="0.35">
      <c r="A14" t="s">
        <v>43</v>
      </c>
      <c r="B14" t="s">
        <v>44</v>
      </c>
      <c r="C14" t="s">
        <v>14</v>
      </c>
      <c r="D14">
        <v>69496.100000000006</v>
      </c>
      <c r="E14">
        <v>69496.100000000006</v>
      </c>
      <c r="F14">
        <v>2482</v>
      </c>
      <c r="G14" t="s">
        <v>22</v>
      </c>
      <c r="H14" s="1">
        <v>0.01</v>
      </c>
      <c r="I14">
        <v>-0.27399999999999997</v>
      </c>
      <c r="J14">
        <v>4015</v>
      </c>
      <c r="K14" s="1">
        <v>3.0000000000000001E-3</v>
      </c>
      <c r="L14">
        <v>13</v>
      </c>
    </row>
    <row r="15" spans="1:13" x14ac:dyDescent="0.35">
      <c r="A15" t="s">
        <v>33</v>
      </c>
      <c r="B15" t="s">
        <v>34</v>
      </c>
      <c r="C15" t="s">
        <v>45</v>
      </c>
      <c r="D15">
        <v>120311</v>
      </c>
      <c r="E15">
        <v>123608</v>
      </c>
      <c r="F15">
        <v>2060.13</v>
      </c>
      <c r="G15" s="1">
        <v>2.7000000000000003E-2</v>
      </c>
      <c r="H15" s="1">
        <v>0.79599999999999993</v>
      </c>
      <c r="I15">
        <v>0.29199999999999998</v>
      </c>
      <c r="J15">
        <v>3557</v>
      </c>
      <c r="K15" s="1">
        <v>3.0000000000000001E-3</v>
      </c>
      <c r="L15">
        <v>14</v>
      </c>
    </row>
    <row r="16" spans="1:13" x14ac:dyDescent="0.35">
      <c r="A16" t="s">
        <v>46</v>
      </c>
      <c r="B16" t="s">
        <v>47</v>
      </c>
      <c r="C16" t="s">
        <v>21</v>
      </c>
      <c r="D16">
        <v>61797.37</v>
      </c>
      <c r="E16">
        <v>63033.32</v>
      </c>
      <c r="F16">
        <v>2101.11</v>
      </c>
      <c r="G16" s="1">
        <v>0.02</v>
      </c>
      <c r="H16" s="1">
        <v>-8.4000000000000005E-2</v>
      </c>
      <c r="I16">
        <v>-0.34100000000000003</v>
      </c>
      <c r="J16">
        <v>2630</v>
      </c>
      <c r="K16" s="1">
        <v>2E-3</v>
      </c>
      <c r="L16">
        <v>15</v>
      </c>
    </row>
  </sheetData>
  <pageMargins left="0.7" right="0.7" top="0.75" bottom="0.75" header="0.3" footer="0.3"/>
  <ignoredErrors>
    <ignoredError sqref="A1:L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33</vt:i4>
      </vt:variant>
    </vt:vector>
  </HeadingPairs>
  <TitlesOfParts>
    <vt:vector size="33" baseType="lpstr">
      <vt:lpstr>TERLOC_5mg</vt:lpstr>
      <vt:lpstr>TERLOC_10mg</vt:lpstr>
      <vt:lpstr>NEBILET_5mg</vt:lpstr>
      <vt:lpstr>SINTROM_4mg</vt:lpstr>
      <vt:lpstr>SILTRAN MET_850mg _ 50mg</vt:lpstr>
      <vt:lpstr>SILTRAN MET_500mg _ 50mg</vt:lpstr>
      <vt:lpstr>SILTRAN MET_1000mg _ 50mg</vt:lpstr>
      <vt:lpstr>SILTRAN_100mg</vt:lpstr>
      <vt:lpstr>SILTRAN_50mg</vt:lpstr>
      <vt:lpstr>ROXOLAN PLUS_10mg</vt:lpstr>
      <vt:lpstr>ROXOLAN_40mg</vt:lpstr>
      <vt:lpstr>ROXOLAN_20mg</vt:lpstr>
      <vt:lpstr>ROXOLAN_10mg</vt:lpstr>
      <vt:lpstr>PIXABAN_5mg</vt:lpstr>
      <vt:lpstr>PIXABAN_2.5mg</vt:lpstr>
      <vt:lpstr>ENTRESTO_51mg _ 49mg</vt:lpstr>
      <vt:lpstr>ENTRESTO_26mg _ 24mg</vt:lpstr>
      <vt:lpstr>EMPAX MET_1000mg _ 5mg</vt:lpstr>
      <vt:lpstr>EMPAX MET_850mg</vt:lpstr>
      <vt:lpstr>EMPAX_25mg</vt:lpstr>
      <vt:lpstr>EMPAX_10mg</vt:lpstr>
      <vt:lpstr>DIOVAN_80mg</vt:lpstr>
      <vt:lpstr>DIOVAN_160mg</vt:lpstr>
      <vt:lpstr>DIOVAN-D_160mg _ 12.5mg</vt:lpstr>
      <vt:lpstr>DILATREND_3.12mg</vt:lpstr>
      <vt:lpstr>DILATREND_6.25mg</vt:lpstr>
      <vt:lpstr>DILATREND_12.5mg</vt:lpstr>
      <vt:lpstr>DILATREND_25mg</vt:lpstr>
      <vt:lpstr>DILATREND_10mg</vt:lpstr>
      <vt:lpstr>DILATREND_20mg</vt:lpstr>
      <vt:lpstr>DILATREND_40mg</vt:lpstr>
      <vt:lpstr>DILATREND_80mg</vt:lpstr>
      <vt:lpstr>DAURAN_10mg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Fernandez</dc:creator>
  <cp:lastModifiedBy>Diego Fernandez</cp:lastModifiedBy>
  <dcterms:created xsi:type="dcterms:W3CDTF">2026-03-18T12:14:11Z</dcterms:created>
  <dcterms:modified xsi:type="dcterms:W3CDTF">2026-04-21T14:14:16Z</dcterms:modified>
</cp:coreProperties>
</file>