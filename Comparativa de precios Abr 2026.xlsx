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Resumen" sheetId="1" state="visible" r:id="rId1"/>
    <sheet xmlns:r="http://schemas.openxmlformats.org/officeDocument/2006/relationships" name="DAURAN" sheetId="2" state="visible" r:id="rId2"/>
    <sheet xmlns:r="http://schemas.openxmlformats.org/officeDocument/2006/relationships" name="DILATREND" sheetId="3" state="visible" r:id="rId3"/>
    <sheet xmlns:r="http://schemas.openxmlformats.org/officeDocument/2006/relationships" name="DIOVAN" sheetId="4" state="visible" r:id="rId4"/>
    <sheet xmlns:r="http://schemas.openxmlformats.org/officeDocument/2006/relationships" name="EMPAX" sheetId="5" state="visible" r:id="rId5"/>
    <sheet xmlns:r="http://schemas.openxmlformats.org/officeDocument/2006/relationships" name="EMPAX MET" sheetId="6" state="visible" r:id="rId6"/>
    <sheet xmlns:r="http://schemas.openxmlformats.org/officeDocument/2006/relationships" name="ENTRESTO" sheetId="7" state="visible" r:id="rId7"/>
    <sheet xmlns:r="http://schemas.openxmlformats.org/officeDocument/2006/relationships" name="EXFORGE" sheetId="8" state="visible" r:id="rId8"/>
    <sheet xmlns:r="http://schemas.openxmlformats.org/officeDocument/2006/relationships" name="NEBILET" sheetId="9" state="visible" r:id="rId9"/>
    <sheet xmlns:r="http://schemas.openxmlformats.org/officeDocument/2006/relationships" name="PIXABAN" sheetId="10" state="visible" r:id="rId10"/>
    <sheet xmlns:r="http://schemas.openxmlformats.org/officeDocument/2006/relationships" name="ROXOLAN" sheetId="11" state="visible" r:id="rId11"/>
    <sheet xmlns:r="http://schemas.openxmlformats.org/officeDocument/2006/relationships" name="ROXOLAN PLUS" sheetId="12" state="visible" r:id="rId12"/>
    <sheet xmlns:r="http://schemas.openxmlformats.org/officeDocument/2006/relationships" name="SILTRAN" sheetId="13" state="visible" r:id="rId13"/>
    <sheet xmlns:r="http://schemas.openxmlformats.org/officeDocument/2006/relationships" name="SILTRAN MET" sheetId="14" state="visible" r:id="rId14"/>
    <sheet xmlns:r="http://schemas.openxmlformats.org/officeDocument/2006/relationships" name="SINTROM" sheetId="15" state="visible" r:id="rId15"/>
    <sheet xmlns:r="http://schemas.openxmlformats.org/officeDocument/2006/relationships" name="TERLOC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164" fontId="0" fillId="0" borderId="0" pivotButton="0" quotePrefix="0" xfId="0"/>
    <xf numFmtId="0" fontId="3" fillId="4" borderId="0" pivotButton="0" quotePrefix="0" xfId="0"/>
    <xf numFmtId="1" fontId="0" fillId="0" borderId="0" pivotButton="0" quotePrefix="0" xfId="0"/>
    <xf numFmtId="0" fontId="3" fillId="5" borderId="0" pivotButton="0" quotePrefix="0" xfId="0"/>
    <xf numFmtId="4" fontId="3" fillId="5" borderId="0" pivotButton="0" quotePrefix="0" xfId="0"/>
    <xf numFmtId="164" fontId="3" fillId="5" borderId="0" pivotButton="0" quotePrefix="0" xfId="0"/>
    <xf numFmtId="3" fontId="3" fillId="5" borderId="0" pivotButton="0" quotePrefix="0" xfId="0"/>
    <xf numFmtId="1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2" customWidth="1" min="3" max="3"/>
    <col width="22" customWidth="1" min="4" max="4"/>
    <col width="15" customWidth="1" min="5" max="5"/>
    <col width="18" customWidth="1" min="6" max="6"/>
    <col width="45" customWidth="1" min="7" max="7"/>
    <col width="15" customWidth="1" min="8" max="8"/>
  </cols>
  <sheetData>
    <row r="1">
      <c r="A1" s="1" t="inlineStr">
        <is>
          <t>Marca Siegfried</t>
        </is>
      </c>
      <c r="B1" s="1" t="inlineStr">
        <is>
          <t>Dosis</t>
        </is>
      </c>
      <c r="C1" s="1" t="inlineStr">
        <is>
          <t>Droga</t>
        </is>
      </c>
      <c r="D1" s="1" t="inlineStr">
        <is>
          <t>Hoja</t>
        </is>
      </c>
      <c r="E1" s="1" t="inlineStr">
        <is>
          <t># Competidores</t>
        </is>
      </c>
      <c r="F1" s="1" t="inlineStr">
        <is>
          <t>PVP Siegfried Abr</t>
        </is>
      </c>
      <c r="G1" s="1" t="inlineStr">
        <is>
          <t>Líder por MAT</t>
        </is>
      </c>
      <c r="H1" s="1" t="inlineStr">
        <is>
          <t>MAT Líder</t>
        </is>
      </c>
    </row>
    <row r="2">
      <c r="A2" t="inlineStr">
        <is>
          <t>DAURAN</t>
        </is>
      </c>
      <c r="B2" t="inlineStr">
        <is>
          <t>10</t>
        </is>
      </c>
      <c r="C2" t="inlineStr">
        <is>
          <t>dapagliflozina</t>
        </is>
      </c>
      <c r="D2" t="inlineStr">
        <is>
          <t>DAURAN</t>
        </is>
      </c>
      <c r="E2" t="n">
        <v>17</v>
      </c>
      <c r="F2" s="2" t="n">
        <v>68817.48</v>
      </c>
      <c r="G2" t="inlineStr">
        <is>
          <t>AstraZeneca — FORXIGA</t>
        </is>
      </c>
      <c r="H2" s="3" t="n">
        <v>283699</v>
      </c>
    </row>
    <row r="3">
      <c r="A3" t="inlineStr">
        <is>
          <t>DILATREND</t>
        </is>
      </c>
      <c r="B3" t="inlineStr">
        <is>
          <t>3.125</t>
        </is>
      </c>
      <c r="C3" t="inlineStr">
        <is>
          <t>carvedilol</t>
        </is>
      </c>
      <c r="D3" t="inlineStr">
        <is>
          <t>DILATREND</t>
        </is>
      </c>
      <c r="E3" t="n">
        <v>14</v>
      </c>
      <c r="F3" s="2" t="n">
        <v>8241.59</v>
      </c>
      <c r="G3" t="inlineStr">
        <is>
          <t>Gador — FILTEN</t>
        </is>
      </c>
      <c r="H3" s="3" t="n">
        <v>91312</v>
      </c>
    </row>
    <row r="4">
      <c r="A4" t="inlineStr">
        <is>
          <t>DILATREND</t>
        </is>
      </c>
      <c r="B4" t="inlineStr">
        <is>
          <t>6.25</t>
        </is>
      </c>
      <c r="C4" t="inlineStr">
        <is>
          <t>carvedilol</t>
        </is>
      </c>
      <c r="D4" t="inlineStr">
        <is>
          <t>DILATREND</t>
        </is>
      </c>
      <c r="E4" t="n">
        <v>35</v>
      </c>
      <c r="F4" s="2" t="n">
        <v>15650.28</v>
      </c>
      <c r="G4" t="inlineStr">
        <is>
          <t>Gador — FILTEN</t>
        </is>
      </c>
      <c r="H4" s="3" t="n">
        <v>209963</v>
      </c>
    </row>
    <row r="5">
      <c r="A5" t="inlineStr">
        <is>
          <t>DILATREND</t>
        </is>
      </c>
      <c r="B5" t="inlineStr">
        <is>
          <t>10</t>
        </is>
      </c>
      <c r="C5" t="inlineStr">
        <is>
          <t>carvedilol</t>
        </is>
      </c>
      <c r="D5" t="inlineStr">
        <is>
          <t>DILATREND</t>
        </is>
      </c>
      <c r="E5" t="n">
        <v>5</v>
      </c>
      <c r="F5" s="2" t="n">
        <v>20665.26</v>
      </c>
      <c r="G5" t="inlineStr">
        <is>
          <t>Gador — FILTEN LP</t>
        </is>
      </c>
      <c r="H5" s="3" t="n">
        <v>40750</v>
      </c>
    </row>
    <row r="6">
      <c r="A6" t="inlineStr">
        <is>
          <t>DILATREND</t>
        </is>
      </c>
      <c r="B6" t="inlineStr">
        <is>
          <t>12.5</t>
        </is>
      </c>
      <c r="C6" t="inlineStr">
        <is>
          <t>carvedilol</t>
        </is>
      </c>
      <c r="D6" t="inlineStr">
        <is>
          <t>DILATREND</t>
        </is>
      </c>
      <c r="E6" t="n">
        <v>36</v>
      </c>
      <c r="F6" s="2" t="n">
        <v>19354.02</v>
      </c>
      <c r="G6" t="inlineStr">
        <is>
          <t>Gador — FILTEN</t>
        </is>
      </c>
      <c r="H6" s="3" t="n">
        <v>228035</v>
      </c>
    </row>
    <row r="7">
      <c r="A7" t="inlineStr">
        <is>
          <t>DILATREND</t>
        </is>
      </c>
      <c r="B7" t="inlineStr">
        <is>
          <t>20</t>
        </is>
      </c>
      <c r="C7" t="inlineStr">
        <is>
          <t>carvedilol</t>
        </is>
      </c>
      <c r="D7" t="inlineStr">
        <is>
          <t>DILATREND</t>
        </is>
      </c>
      <c r="E7" t="n">
        <v>7</v>
      </c>
      <c r="F7" s="2" t="n">
        <v>35358.71</v>
      </c>
      <c r="G7" t="inlineStr">
        <is>
          <t>Gador — FILTEN LP</t>
        </is>
      </c>
      <c r="H7" s="3" t="n">
        <v>105988</v>
      </c>
    </row>
    <row r="8">
      <c r="A8" t="inlineStr">
        <is>
          <t>DILATREND</t>
        </is>
      </c>
      <c r="B8" t="inlineStr">
        <is>
          <t>25</t>
        </is>
      </c>
      <c r="C8" t="inlineStr">
        <is>
          <t>carvedilol</t>
        </is>
      </c>
      <c r="D8" t="inlineStr">
        <is>
          <t>DILATREND</t>
        </is>
      </c>
      <c r="E8" t="n">
        <v>36</v>
      </c>
      <c r="F8" s="2" t="n">
        <v>23926.39</v>
      </c>
      <c r="G8" t="inlineStr">
        <is>
          <t>Gador — FILTEN</t>
        </is>
      </c>
      <c r="H8" s="3" t="n">
        <v>172501</v>
      </c>
    </row>
    <row r="9">
      <c r="A9" t="inlineStr">
        <is>
          <t>DILATREND</t>
        </is>
      </c>
      <c r="B9" t="inlineStr">
        <is>
          <t>25/12.5</t>
        </is>
      </c>
      <c r="C9" t="inlineStr">
        <is>
          <t>carvedilol+hidroclorotiazida</t>
        </is>
      </c>
      <c r="D9" t="inlineStr">
        <is>
          <t>DILATREND</t>
        </is>
      </c>
      <c r="E9" t="n">
        <v>4</v>
      </c>
      <c r="F9" s="2" t="n">
        <v>26972.81</v>
      </c>
      <c r="G9" t="inlineStr">
        <is>
          <t>Bagó — CARVEDIL D</t>
        </is>
      </c>
      <c r="H9" s="3" t="n">
        <v>17956</v>
      </c>
    </row>
    <row r="10">
      <c r="A10" t="inlineStr">
        <is>
          <t>DILATREND</t>
        </is>
      </c>
      <c r="B10" t="inlineStr">
        <is>
          <t>40</t>
        </is>
      </c>
      <c r="C10" t="inlineStr">
        <is>
          <t>carvedilol</t>
        </is>
      </c>
      <c r="D10" t="inlineStr">
        <is>
          <t>DILATREND</t>
        </is>
      </c>
      <c r="E10" t="n">
        <v>7</v>
      </c>
      <c r="F10" s="2" t="n">
        <v>43908.28</v>
      </c>
      <c r="G10" t="inlineStr">
        <is>
          <t>Gador — FILTEN LP</t>
        </is>
      </c>
      <c r="H10" s="3" t="n">
        <v>104983</v>
      </c>
    </row>
    <row r="11">
      <c r="A11" t="inlineStr">
        <is>
          <t>DILATREND</t>
        </is>
      </c>
      <c r="B11" t="inlineStr">
        <is>
          <t>50</t>
        </is>
      </c>
      <c r="C11" t="inlineStr">
        <is>
          <t>carvedilol</t>
        </is>
      </c>
      <c r="D11" t="inlineStr">
        <is>
          <t>DILATREND</t>
        </is>
      </c>
      <c r="E11" t="n">
        <v>8</v>
      </c>
      <c r="F11" s="2" t="n">
        <v>31009.97</v>
      </c>
      <c r="G11" t="inlineStr">
        <is>
          <t>Gador — FILTEN</t>
        </is>
      </c>
      <c r="H11" s="3" t="n">
        <v>23753</v>
      </c>
    </row>
    <row r="12">
      <c r="A12" t="inlineStr">
        <is>
          <t>DILATREND</t>
        </is>
      </c>
      <c r="B12" t="inlineStr">
        <is>
          <t>80</t>
        </is>
      </c>
      <c r="C12" t="inlineStr">
        <is>
          <t>carvedilol</t>
        </is>
      </c>
      <c r="D12" t="inlineStr">
        <is>
          <t>DILATREND</t>
        </is>
      </c>
      <c r="E12" t="n">
        <v>3</v>
      </c>
      <c r="F12" s="2" t="n">
        <v>52077.3</v>
      </c>
      <c r="G12" t="inlineStr">
        <is>
          <t>Gador — FILTEN LP</t>
        </is>
      </c>
      <c r="H12" s="3" t="n">
        <v>20289</v>
      </c>
    </row>
    <row r="13">
      <c r="A13" t="inlineStr">
        <is>
          <t>DIOVAN</t>
        </is>
      </c>
      <c r="B13" t="inlineStr">
        <is>
          <t>40</t>
        </is>
      </c>
      <c r="C13" t="inlineStr">
        <is>
          <t>valsartan</t>
        </is>
      </c>
      <c r="D13" t="inlineStr">
        <is>
          <t>DIOVAN</t>
        </is>
      </c>
      <c r="E13" t="n">
        <v>1</v>
      </c>
      <c r="F13" s="2" t="n">
        <v>20793.12</v>
      </c>
      <c r="G13" t="inlineStr">
        <is>
          <t>Siegfried — DIOVAN IC</t>
        </is>
      </c>
      <c r="H13" s="3" t="n">
        <v>11260</v>
      </c>
    </row>
    <row r="14">
      <c r="A14" t="inlineStr">
        <is>
          <t>DIOVAN</t>
        </is>
      </c>
      <c r="B14" t="inlineStr">
        <is>
          <t>80/12.5</t>
        </is>
      </c>
      <c r="C14" t="inlineStr">
        <is>
          <t>valsartan+hidroclorotiazida</t>
        </is>
      </c>
      <c r="D14" t="inlineStr">
        <is>
          <t>DIOVAN</t>
        </is>
      </c>
      <c r="E14" t="n">
        <v>18</v>
      </c>
      <c r="F14" s="2" t="n">
        <v>36341.62</v>
      </c>
      <c r="G14" t="inlineStr">
        <is>
          <t>Adium — ALPERTAN D</t>
        </is>
      </c>
      <c r="H14" s="3" t="n">
        <v>312515</v>
      </c>
    </row>
    <row r="15">
      <c r="A15" t="inlineStr">
        <is>
          <t>DIOVAN</t>
        </is>
      </c>
      <c r="B15" t="inlineStr">
        <is>
          <t>80</t>
        </is>
      </c>
      <c r="C15" t="inlineStr">
        <is>
          <t>valsartan</t>
        </is>
      </c>
      <c r="D15" t="inlineStr">
        <is>
          <t>DIOVAN</t>
        </is>
      </c>
      <c r="E15" t="n">
        <v>26</v>
      </c>
      <c r="F15" s="2" t="n">
        <v>30375.74</v>
      </c>
      <c r="G15" t="inlineStr">
        <is>
          <t>Baliarda — SARVAL</t>
        </is>
      </c>
      <c r="H15" s="3" t="n">
        <v>812164</v>
      </c>
    </row>
    <row r="16">
      <c r="A16" t="inlineStr">
        <is>
          <t>DIOVAN</t>
        </is>
      </c>
      <c r="B16" t="inlineStr">
        <is>
          <t>160/12.5</t>
        </is>
      </c>
      <c r="C16" t="inlineStr">
        <is>
          <t>valsartan+hidroclorotiazida</t>
        </is>
      </c>
      <c r="D16" t="inlineStr">
        <is>
          <t>DIOVAN</t>
        </is>
      </c>
      <c r="E16" t="n">
        <v>17</v>
      </c>
      <c r="F16" s="2" t="n">
        <v>42812.81</v>
      </c>
      <c r="G16" t="inlineStr">
        <is>
          <t>Adium — ALPERTAN D</t>
        </is>
      </c>
      <c r="H16" s="3" t="n">
        <v>513957</v>
      </c>
    </row>
    <row r="17">
      <c r="A17" t="inlineStr">
        <is>
          <t>DIOVAN</t>
        </is>
      </c>
      <c r="B17" t="inlineStr">
        <is>
          <t>160</t>
        </is>
      </c>
      <c r="C17" t="inlineStr">
        <is>
          <t>valsartan</t>
        </is>
      </c>
      <c r="D17" t="inlineStr">
        <is>
          <t>DIOVAN</t>
        </is>
      </c>
      <c r="E17" t="n">
        <v>26</v>
      </c>
      <c r="F17" s="2" t="n">
        <v>38851.35</v>
      </c>
      <c r="G17" t="inlineStr">
        <is>
          <t>Baliarda — SARVAL</t>
        </is>
      </c>
      <c r="H17" s="3" t="n">
        <v>1099347</v>
      </c>
    </row>
    <row r="18">
      <c r="A18" t="inlineStr">
        <is>
          <t>DIOVAN</t>
        </is>
      </c>
      <c r="B18" t="inlineStr">
        <is>
          <t>160/25</t>
        </is>
      </c>
      <c r="C18" t="inlineStr">
        <is>
          <t>valsartan+hidroclorotiazida</t>
        </is>
      </c>
      <c r="D18" t="inlineStr">
        <is>
          <t>DIOVAN</t>
        </is>
      </c>
      <c r="E18" t="n">
        <v>11</v>
      </c>
      <c r="F18" s="2" t="n">
        <v>43397.41</v>
      </c>
      <c r="G18" t="inlineStr">
        <is>
          <t>Baliarda — SARVAL D 160/25</t>
        </is>
      </c>
      <c r="H18" s="3" t="n">
        <v>129373</v>
      </c>
    </row>
    <row r="19">
      <c r="A19" t="inlineStr">
        <is>
          <t>DIOVAN</t>
        </is>
      </c>
      <c r="B19" t="inlineStr">
        <is>
          <t>320</t>
        </is>
      </c>
      <c r="C19" t="inlineStr">
        <is>
          <t>valsartan</t>
        </is>
      </c>
      <c r="D19" t="inlineStr">
        <is>
          <t>DIOVAN</t>
        </is>
      </c>
      <c r="E19" t="n">
        <v>17</v>
      </c>
      <c r="F19" s="2" t="n">
        <v>42878.9</v>
      </c>
      <c r="G19" t="inlineStr">
        <is>
          <t>Baliarda — SARVAL</t>
        </is>
      </c>
      <c r="H19" s="3" t="n">
        <v>213539</v>
      </c>
    </row>
    <row r="20">
      <c r="A20" t="inlineStr">
        <is>
          <t>DIOVAN</t>
        </is>
      </c>
      <c r="B20" t="inlineStr">
        <is>
          <t>320/12.5</t>
        </is>
      </c>
      <c r="C20" t="inlineStr">
        <is>
          <t>valsartan+hidroclorotiazida</t>
        </is>
      </c>
      <c r="D20" t="inlineStr">
        <is>
          <t>DIOVAN</t>
        </is>
      </c>
      <c r="E20" t="n">
        <v>6</v>
      </c>
      <c r="F20" s="2" t="n">
        <v>48225.9</v>
      </c>
      <c r="G20" t="inlineStr">
        <is>
          <t>Baliarda — SARVAL D 320/12.5</t>
        </is>
      </c>
      <c r="H20" s="3" t="n">
        <v>61579</v>
      </c>
    </row>
    <row r="21">
      <c r="A21" t="inlineStr">
        <is>
          <t>DIOVAN</t>
        </is>
      </c>
      <c r="B21" t="inlineStr">
        <is>
          <t>320/25</t>
        </is>
      </c>
      <c r="C21" t="inlineStr">
        <is>
          <t>valsartan+hidroclorotiazida</t>
        </is>
      </c>
      <c r="D21" t="inlineStr">
        <is>
          <t>DIOVAN</t>
        </is>
      </c>
      <c r="E21" t="n">
        <v>9</v>
      </c>
      <c r="F21" s="2" t="n">
        <v>48225.9</v>
      </c>
      <c r="G21" t="inlineStr">
        <is>
          <t>Baliarda — SARVAL D 320/25</t>
        </is>
      </c>
      <c r="H21" s="3" t="n">
        <v>86437</v>
      </c>
    </row>
    <row r="22">
      <c r="A22" t="inlineStr">
        <is>
          <t>EMPAX</t>
        </is>
      </c>
      <c r="B22" t="inlineStr">
        <is>
          <t>10</t>
        </is>
      </c>
      <c r="C22" t="inlineStr">
        <is>
          <t>empagliflozina</t>
        </is>
      </c>
      <c r="D22" t="inlineStr">
        <is>
          <t>EMPAX</t>
        </is>
      </c>
      <c r="E22" t="n">
        <v>12</v>
      </c>
      <c r="F22" s="2" t="n">
        <v>92646.73</v>
      </c>
      <c r="G22" t="inlineStr">
        <is>
          <t>Boehringer Ingelheim — JARDIANCE</t>
        </is>
      </c>
      <c r="H22" s="3" t="n">
        <v>168441</v>
      </c>
    </row>
    <row r="23">
      <c r="A23" t="inlineStr">
        <is>
          <t>EMPAX</t>
        </is>
      </c>
      <c r="B23" t="inlineStr">
        <is>
          <t>25</t>
        </is>
      </c>
      <c r="C23" t="inlineStr">
        <is>
          <t>empagliflozina</t>
        </is>
      </c>
      <c r="D23" t="inlineStr">
        <is>
          <t>EMPAX</t>
        </is>
      </c>
      <c r="E23" t="n">
        <v>12</v>
      </c>
      <c r="F23" s="2" t="n">
        <v>99577.72</v>
      </c>
      <c r="G23" t="inlineStr">
        <is>
          <t>Boehringer Ingelheim — JARDIANCE</t>
        </is>
      </c>
      <c r="H23" s="3" t="n">
        <v>102769</v>
      </c>
    </row>
    <row r="24">
      <c r="A24" t="inlineStr">
        <is>
          <t>EMPAX MET</t>
        </is>
      </c>
      <c r="B24" t="inlineStr">
        <is>
          <t>5/850</t>
        </is>
      </c>
      <c r="C24" t="inlineStr">
        <is>
          <t>empagliflozina+metformina clorh.</t>
        </is>
      </c>
      <c r="D24" t="inlineStr">
        <is>
          <t>EMPAX MET</t>
        </is>
      </c>
      <c r="E24" t="n">
        <v>6</v>
      </c>
      <c r="F24" s="2" t="n">
        <v>101071.86</v>
      </c>
      <c r="G24" t="inlineStr">
        <is>
          <t>Boehringer Ingelheim — JARDIANCE DUO</t>
        </is>
      </c>
      <c r="H24" s="3" t="n">
        <v>11005</v>
      </c>
    </row>
    <row r="25">
      <c r="A25" t="inlineStr">
        <is>
          <t>EMPAX MET</t>
        </is>
      </c>
      <c r="B25" t="inlineStr">
        <is>
          <t>5/1000</t>
        </is>
      </c>
      <c r="C25" t="inlineStr">
        <is>
          <t>empagliflozina+metformina clorh.</t>
        </is>
      </c>
      <c r="D25" t="inlineStr">
        <is>
          <t>EMPAX MET</t>
        </is>
      </c>
      <c r="E25" t="n">
        <v>5</v>
      </c>
      <c r="F25" s="2" t="n">
        <v>101071.86</v>
      </c>
      <c r="G25" t="inlineStr">
        <is>
          <t>Boehringer Ingelheim — JARDIANCE DUO</t>
        </is>
      </c>
      <c r="H25" s="3" t="n">
        <v>7197</v>
      </c>
    </row>
    <row r="26">
      <c r="A26" t="inlineStr">
        <is>
          <t>EMPAX MET</t>
        </is>
      </c>
      <c r="B26" t="inlineStr">
        <is>
          <t>12.5/850</t>
        </is>
      </c>
      <c r="C26" t="inlineStr">
        <is>
          <t>empagliflozina+metformina clorh.</t>
        </is>
      </c>
      <c r="D26" t="inlineStr">
        <is>
          <t>EMPAX MET</t>
        </is>
      </c>
      <c r="E26" t="n">
        <v>5</v>
      </c>
      <c r="F26" s="2" t="n">
        <v>111178.12</v>
      </c>
      <c r="G26" t="inlineStr">
        <is>
          <t>Boehringer Ingelheim — JARDIANCE DUO</t>
        </is>
      </c>
      <c r="H26" s="3" t="n">
        <v>5099</v>
      </c>
    </row>
    <row r="27">
      <c r="A27" t="inlineStr">
        <is>
          <t>EMPAX MET</t>
        </is>
      </c>
      <c r="B27" t="inlineStr">
        <is>
          <t>12.5/1000</t>
        </is>
      </c>
      <c r="C27" t="inlineStr">
        <is>
          <t>empagliflozina+metformina clorh.</t>
        </is>
      </c>
      <c r="D27" t="inlineStr">
        <is>
          <t>EMPAX MET</t>
        </is>
      </c>
      <c r="E27" t="n">
        <v>6</v>
      </c>
      <c r="F27" s="2" t="n">
        <v>111178.12</v>
      </c>
      <c r="G27" t="inlineStr">
        <is>
          <t>Boehringer Ingelheim — JARDIANCE DUO</t>
        </is>
      </c>
      <c r="H27" s="3" t="n">
        <v>13491</v>
      </c>
    </row>
    <row r="28">
      <c r="A28" t="inlineStr">
        <is>
          <t>ENTRESTO</t>
        </is>
      </c>
      <c r="B28" t="inlineStr">
        <is>
          <t>50</t>
        </is>
      </c>
      <c r="C28" t="inlineStr">
        <is>
          <t>sacubitrilo+valsartan</t>
        </is>
      </c>
      <c r="D28" t="inlineStr">
        <is>
          <t>ENTRESTO</t>
        </is>
      </c>
      <c r="E28" t="n">
        <v>3</v>
      </c>
      <c r="F28" s="2" t="n">
        <v>88309.3</v>
      </c>
      <c r="G28" t="inlineStr">
        <is>
          <t>Siegfried — ENTRESTO</t>
        </is>
      </c>
      <c r="H28" s="3" t="n">
        <v>131683</v>
      </c>
    </row>
    <row r="29">
      <c r="A29" t="inlineStr">
        <is>
          <t>ENTRESTO</t>
        </is>
      </c>
      <c r="B29" t="inlineStr">
        <is>
          <t>100</t>
        </is>
      </c>
      <c r="C29" t="inlineStr">
        <is>
          <t>sacubitrilo+valsartan</t>
        </is>
      </c>
      <c r="D29" t="inlineStr">
        <is>
          <t>ENTRESTO</t>
        </is>
      </c>
      <c r="E29" t="n">
        <v>5</v>
      </c>
      <c r="F29" s="2" t="n">
        <v>88309.3</v>
      </c>
      <c r="G29" t="inlineStr">
        <is>
          <t>Siegfried — ENTRESTO</t>
        </is>
      </c>
      <c r="H29" s="3" t="n">
        <v>39687</v>
      </c>
    </row>
    <row r="30">
      <c r="A30" t="inlineStr">
        <is>
          <t>ENTRESTO</t>
        </is>
      </c>
      <c r="B30" t="inlineStr">
        <is>
          <t>200</t>
        </is>
      </c>
      <c r="C30" t="inlineStr">
        <is>
          <t>sacubitrilo+valsartan</t>
        </is>
      </c>
      <c r="D30" t="inlineStr">
        <is>
          <t>ENTRESTO</t>
        </is>
      </c>
      <c r="E30" t="n">
        <v>3</v>
      </c>
      <c r="F30" s="2" t="n">
        <v>176618.7</v>
      </c>
      <c r="G30" t="inlineStr">
        <is>
          <t>Siegfried — ENTRESTO</t>
        </is>
      </c>
      <c r="H30" s="3" t="n">
        <v>17675</v>
      </c>
    </row>
    <row r="31">
      <c r="A31" t="inlineStr">
        <is>
          <t>EXFORGE</t>
        </is>
      </c>
      <c r="B31" t="inlineStr">
        <is>
          <t>5/160</t>
        </is>
      </c>
      <c r="C31" t="inlineStr">
        <is>
          <t>valsartan+amlodipina</t>
        </is>
      </c>
      <c r="D31" t="inlineStr">
        <is>
          <t>EXFORGE</t>
        </is>
      </c>
      <c r="E31" t="n">
        <v>2</v>
      </c>
      <c r="F31" s="2" t="n">
        <v>49952.08</v>
      </c>
      <c r="G31" t="inlineStr">
        <is>
          <t>Adium — NOSTER</t>
        </is>
      </c>
      <c r="H31" s="3" t="n">
        <v>451472</v>
      </c>
    </row>
    <row r="32">
      <c r="A32" t="inlineStr">
        <is>
          <t>EXFORGE</t>
        </is>
      </c>
      <c r="B32" t="inlineStr">
        <is>
          <t>5/320</t>
        </is>
      </c>
      <c r="C32" t="inlineStr">
        <is>
          <t>valsartan+amlodipina</t>
        </is>
      </c>
      <c r="D32" t="inlineStr">
        <is>
          <t>EXFORGE</t>
        </is>
      </c>
      <c r="E32" t="n">
        <v>2</v>
      </c>
      <c r="F32" s="2" t="n">
        <v>64924.04</v>
      </c>
      <c r="G32" t="inlineStr">
        <is>
          <t>Adium — NOSTER</t>
        </is>
      </c>
      <c r="H32" s="3" t="n">
        <v>36057</v>
      </c>
    </row>
    <row r="33">
      <c r="A33" t="inlineStr">
        <is>
          <t>EXFORGE</t>
        </is>
      </c>
      <c r="B33" t="inlineStr">
        <is>
          <t>5/80</t>
        </is>
      </c>
      <c r="C33" t="inlineStr">
        <is>
          <t>valsartan+amlodipina</t>
        </is>
      </c>
      <c r="D33" t="inlineStr">
        <is>
          <t>EXFORGE</t>
        </is>
      </c>
      <c r="E33" t="n">
        <v>1</v>
      </c>
      <c r="F33" s="2" t="n">
        <v>50919.77</v>
      </c>
      <c r="G33" t="inlineStr">
        <is>
          <t>Siegfried — EXFORGE</t>
        </is>
      </c>
      <c r="H33" s="3" t="n">
        <v>41713</v>
      </c>
    </row>
    <row r="34">
      <c r="A34" t="inlineStr">
        <is>
          <t>EXFORGE</t>
        </is>
      </c>
      <c r="B34" t="inlineStr">
        <is>
          <t>10/160</t>
        </is>
      </c>
      <c r="C34" t="inlineStr">
        <is>
          <t>valsartan+amlodipina</t>
        </is>
      </c>
      <c r="D34" t="inlineStr">
        <is>
          <t>EXFORGE</t>
        </is>
      </c>
      <c r="E34" t="n">
        <v>2</v>
      </c>
      <c r="F34" s="2" t="n">
        <v>49952.08</v>
      </c>
      <c r="G34" t="inlineStr">
        <is>
          <t>Adium — NOSTER</t>
        </is>
      </c>
      <c r="H34" s="3" t="n">
        <v>152541</v>
      </c>
    </row>
    <row r="35">
      <c r="A35" t="inlineStr">
        <is>
          <t>EXFORGE</t>
        </is>
      </c>
      <c r="B35" t="inlineStr">
        <is>
          <t>10/320</t>
        </is>
      </c>
      <c r="C35" t="inlineStr">
        <is>
          <t>valsartan+amlodipina</t>
        </is>
      </c>
      <c r="D35" t="inlineStr">
        <is>
          <t>EXFORGE</t>
        </is>
      </c>
      <c r="E35" t="n">
        <v>1</v>
      </c>
      <c r="F35" s="2" t="n">
        <v>63088.28</v>
      </c>
      <c r="G35" t="inlineStr">
        <is>
          <t>Siegfried — EXFORGE</t>
        </is>
      </c>
      <c r="H35" s="3" t="n">
        <v>8398</v>
      </c>
    </row>
    <row r="36">
      <c r="A36" t="inlineStr">
        <is>
          <t>EXFORGE</t>
        </is>
      </c>
      <c r="B36" t="inlineStr">
        <is>
          <t>160/12.5/5</t>
        </is>
      </c>
      <c r="C36" t="inlineStr">
        <is>
          <t>valsartan+hidrocloroti.+amlodip.</t>
        </is>
      </c>
      <c r="D36" t="inlineStr">
        <is>
          <t>EXFORGE</t>
        </is>
      </c>
      <c r="E36" t="n">
        <v>7</v>
      </c>
      <c r="F36" s="2" t="n">
        <v>61975.57</v>
      </c>
      <c r="G36" t="inlineStr">
        <is>
          <t>Adium — NOSTER D</t>
        </is>
      </c>
      <c r="H36" s="3" t="n">
        <v>334241</v>
      </c>
    </row>
    <row r="37">
      <c r="A37" t="inlineStr">
        <is>
          <t>EXFORGE</t>
        </is>
      </c>
      <c r="B37" t="inlineStr">
        <is>
          <t>160/25/5</t>
        </is>
      </c>
      <c r="C37" t="inlineStr">
        <is>
          <t>valsartan+hidrocloroti.+amlodip.</t>
        </is>
      </c>
      <c r="D37" t="inlineStr">
        <is>
          <t>EXFORGE</t>
        </is>
      </c>
      <c r="E37" t="n">
        <v>2</v>
      </c>
      <c r="F37" s="2" t="n">
        <v>61975.57</v>
      </c>
      <c r="G37" t="inlineStr">
        <is>
          <t>Siegfried — EXFORGE D</t>
        </is>
      </c>
      <c r="H37" s="3" t="n">
        <v>6743</v>
      </c>
    </row>
    <row r="38">
      <c r="A38" t="inlineStr">
        <is>
          <t>EXFORGE</t>
        </is>
      </c>
      <c r="B38" t="inlineStr">
        <is>
          <t>160/12.5/10</t>
        </is>
      </c>
      <c r="C38" t="inlineStr">
        <is>
          <t>valsartan+hidrocloroti.+amlodip.</t>
        </is>
      </c>
      <c r="D38" t="inlineStr">
        <is>
          <t>EXFORGE</t>
        </is>
      </c>
      <c r="E38" t="n">
        <v>7</v>
      </c>
      <c r="F38" s="2" t="n">
        <v>61385.94</v>
      </c>
      <c r="G38" t="inlineStr">
        <is>
          <t>Adium — NOSTER D</t>
        </is>
      </c>
      <c r="H38" s="3" t="n">
        <v>141023</v>
      </c>
    </row>
    <row r="39">
      <c r="A39" t="inlineStr">
        <is>
          <t>EXFORGE</t>
        </is>
      </c>
      <c r="B39" t="inlineStr">
        <is>
          <t>160/25/10</t>
        </is>
      </c>
      <c r="C39" t="inlineStr">
        <is>
          <t>valsartan+hidrocloroti.+amlodip.</t>
        </is>
      </c>
      <c r="D39" t="inlineStr">
        <is>
          <t>EXFORGE</t>
        </is>
      </c>
      <c r="E39" t="n">
        <v>2</v>
      </c>
      <c r="F39" s="2" t="n">
        <v>61975.57</v>
      </c>
      <c r="G39" t="inlineStr">
        <is>
          <t>Siegfried — EXFORGE D</t>
        </is>
      </c>
      <c r="H39" s="3" t="n">
        <v>3900</v>
      </c>
    </row>
    <row r="40">
      <c r="A40" t="inlineStr">
        <is>
          <t>EXFORGE</t>
        </is>
      </c>
      <c r="B40" t="inlineStr">
        <is>
          <t>320/25/10</t>
        </is>
      </c>
      <c r="C40" t="inlineStr">
        <is>
          <t>valsartan+hidrocloroti.+amlodip.</t>
        </is>
      </c>
      <c r="D40" t="inlineStr">
        <is>
          <t>EXFORGE</t>
        </is>
      </c>
      <c r="E40" t="n">
        <v>7</v>
      </c>
      <c r="F40" s="2" t="n">
        <v>65542.64</v>
      </c>
      <c r="G40" t="inlineStr">
        <is>
          <t>Adium — NOSTER D</t>
        </is>
      </c>
      <c r="H40" s="3" t="n">
        <v>76386</v>
      </c>
    </row>
    <row r="41">
      <c r="A41" t="inlineStr">
        <is>
          <t>NEBILET</t>
        </is>
      </c>
      <c r="B41" t="inlineStr">
        <is>
          <t>5</t>
        </is>
      </c>
      <c r="C41" t="inlineStr">
        <is>
          <t>nebivolol</t>
        </is>
      </c>
      <c r="D41" t="inlineStr">
        <is>
          <t>NEBILET</t>
        </is>
      </c>
      <c r="E41" t="n">
        <v>19</v>
      </c>
      <c r="F41" s="2" t="n">
        <v>19358.13</v>
      </c>
      <c r="G41" t="inlineStr">
        <is>
          <t>Adium — NABILA</t>
        </is>
      </c>
      <c r="H41" s="3" t="n">
        <v>655227</v>
      </c>
    </row>
    <row r="42">
      <c r="A42" t="inlineStr">
        <is>
          <t>NEBILET</t>
        </is>
      </c>
      <c r="B42" t="inlineStr">
        <is>
          <t>5/12.5</t>
        </is>
      </c>
      <c r="C42" t="inlineStr">
        <is>
          <t>nebivolol+hidroclorotiazida</t>
        </is>
      </c>
      <c r="D42" t="inlineStr">
        <is>
          <t>NEBILET</t>
        </is>
      </c>
      <c r="E42" t="n">
        <v>8</v>
      </c>
      <c r="F42" s="2" t="n">
        <v>28818.92</v>
      </c>
      <c r="G42" t="inlineStr">
        <is>
          <t>Siegfried — NEBILET D</t>
        </is>
      </c>
      <c r="H42" s="3" t="n">
        <v>38760</v>
      </c>
    </row>
    <row r="43">
      <c r="A43" t="inlineStr">
        <is>
          <t>PIXABAN</t>
        </is>
      </c>
      <c r="B43" t="inlineStr">
        <is>
          <t>2.5</t>
        </is>
      </c>
      <c r="C43" t="inlineStr">
        <is>
          <t>apixaban</t>
        </is>
      </c>
      <c r="D43" t="inlineStr">
        <is>
          <t>PIXABAN</t>
        </is>
      </c>
      <c r="E43" t="n">
        <v>15</v>
      </c>
      <c r="F43" s="2" t="n">
        <v>120167.3</v>
      </c>
      <c r="G43" t="inlineStr">
        <is>
          <t>Nolter — APITENA</t>
        </is>
      </c>
      <c r="H43" s="3" t="n">
        <v>12998</v>
      </c>
    </row>
    <row r="44">
      <c r="A44" t="inlineStr">
        <is>
          <t>PIXABAN</t>
        </is>
      </c>
      <c r="B44" t="inlineStr">
        <is>
          <t>5</t>
        </is>
      </c>
      <c r="C44" t="inlineStr">
        <is>
          <t>apixaban</t>
        </is>
      </c>
      <c r="D44" t="inlineStr">
        <is>
          <t>PIXABAN</t>
        </is>
      </c>
      <c r="E44" t="n">
        <v>15</v>
      </c>
      <c r="F44" s="2" t="n">
        <v>123772.32</v>
      </c>
      <c r="G44" t="inlineStr">
        <is>
          <t>Nolter — APITENA</t>
        </is>
      </c>
      <c r="H44" s="3" t="n">
        <v>24900</v>
      </c>
    </row>
    <row r="45">
      <c r="A45" t="inlineStr">
        <is>
          <t>ROXOLAN</t>
        </is>
      </c>
      <c r="B45" t="inlineStr">
        <is>
          <t>5</t>
        </is>
      </c>
      <c r="C45" t="inlineStr">
        <is>
          <t>rosuvastatina</t>
        </is>
      </c>
      <c r="D45" t="inlineStr">
        <is>
          <t>ROXOLAN</t>
        </is>
      </c>
      <c r="E45" t="n">
        <v>30</v>
      </c>
      <c r="F45" s="2" t="n">
        <v>15850.49</v>
      </c>
      <c r="G45" t="inlineStr">
        <is>
          <t>Gador — SINLIP</t>
        </is>
      </c>
      <c r="H45" s="3" t="n">
        <v>212225</v>
      </c>
    </row>
    <row r="46">
      <c r="A46" t="inlineStr">
        <is>
          <t>ROXOLAN</t>
        </is>
      </c>
      <c r="B46" t="inlineStr">
        <is>
          <t>10</t>
        </is>
      </c>
      <c r="C46" t="inlineStr">
        <is>
          <t>rosuvastatina</t>
        </is>
      </c>
      <c r="D46" t="inlineStr">
        <is>
          <t>ROXOLAN</t>
        </is>
      </c>
      <c r="E46" t="n">
        <v>51</v>
      </c>
      <c r="F46" s="2" t="n">
        <v>23998.53</v>
      </c>
      <c r="G46" t="inlineStr">
        <is>
          <t>Roemmers — ROVARTAL</t>
        </is>
      </c>
      <c r="H46" s="3" t="n">
        <v>1055478</v>
      </c>
    </row>
    <row r="47">
      <c r="A47" t="inlineStr">
        <is>
          <t>ROXOLAN</t>
        </is>
      </c>
      <c r="B47" t="inlineStr">
        <is>
          <t>20</t>
        </is>
      </c>
      <c r="C47" t="inlineStr">
        <is>
          <t>rosuvastatina</t>
        </is>
      </c>
      <c r="D47" t="inlineStr">
        <is>
          <t>ROXOLAN</t>
        </is>
      </c>
      <c r="E47" t="n">
        <v>48</v>
      </c>
      <c r="F47" s="2" t="n">
        <v>43365.49</v>
      </c>
      <c r="G47" t="inlineStr">
        <is>
          <t>Roemmers — ROVARTAL</t>
        </is>
      </c>
      <c r="H47" s="3" t="n">
        <v>551162</v>
      </c>
    </row>
    <row r="48">
      <c r="A48" t="inlineStr">
        <is>
          <t>ROXOLAN</t>
        </is>
      </c>
      <c r="B48" t="inlineStr">
        <is>
          <t>40</t>
        </is>
      </c>
      <c r="C48" t="inlineStr">
        <is>
          <t>rosuvastatina</t>
        </is>
      </c>
      <c r="D48" t="inlineStr">
        <is>
          <t>ROXOLAN</t>
        </is>
      </c>
      <c r="E48" t="n">
        <v>24</v>
      </c>
      <c r="F48" s="2" t="n">
        <v>76632.2</v>
      </c>
      <c r="G48" t="inlineStr">
        <is>
          <t>Gador — SINLIP</t>
        </is>
      </c>
      <c r="H48" s="3" t="n">
        <v>200220</v>
      </c>
    </row>
    <row r="49">
      <c r="A49" t="inlineStr">
        <is>
          <t>ROXOLAN PLUS</t>
        </is>
      </c>
      <c r="B49" t="inlineStr">
        <is>
          <t>5/10</t>
        </is>
      </c>
      <c r="C49" t="inlineStr">
        <is>
          <t>rosuvastatina+ezetimibe</t>
        </is>
      </c>
      <c r="D49" t="inlineStr">
        <is>
          <t>ROXOLAN PLUS</t>
        </is>
      </c>
      <c r="E49" t="n">
        <v>5</v>
      </c>
      <c r="F49" s="2" t="n">
        <v>30101.65</v>
      </c>
      <c r="G49" t="inlineStr">
        <is>
          <t>Nolter — ROSUFEN DUO</t>
        </is>
      </c>
      <c r="H49" s="3" t="n">
        <v>19594</v>
      </c>
    </row>
    <row r="50">
      <c r="A50" t="inlineStr">
        <is>
          <t>ROXOLAN PLUS</t>
        </is>
      </c>
      <c r="B50" t="inlineStr">
        <is>
          <t>10/10</t>
        </is>
      </c>
      <c r="C50" t="inlineStr">
        <is>
          <t>rosuvastatina+ezetimibe</t>
        </is>
      </c>
      <c r="D50" t="inlineStr">
        <is>
          <t>ROXOLAN PLUS</t>
        </is>
      </c>
      <c r="E50" t="n">
        <v>11</v>
      </c>
      <c r="F50" s="2" t="n">
        <v>33541.66</v>
      </c>
      <c r="G50" t="inlineStr">
        <is>
          <t>Gador — SINLIP EZ</t>
        </is>
      </c>
      <c r="H50" s="3" t="n">
        <v>156557</v>
      </c>
    </row>
    <row r="51">
      <c r="A51" t="inlineStr">
        <is>
          <t>ROXOLAN PLUS</t>
        </is>
      </c>
      <c r="B51" t="inlineStr">
        <is>
          <t>20/10</t>
        </is>
      </c>
      <c r="C51" t="inlineStr">
        <is>
          <t>rosuvastatina+ezetimibe</t>
        </is>
      </c>
      <c r="D51" t="inlineStr">
        <is>
          <t>ROXOLAN PLUS</t>
        </is>
      </c>
      <c r="E51" t="n">
        <v>11</v>
      </c>
      <c r="F51" s="2" t="n">
        <v>60418.08</v>
      </c>
      <c r="G51" t="inlineStr">
        <is>
          <t>Roemmers — ROVARTAL EZ</t>
        </is>
      </c>
      <c r="H51" s="3" t="n">
        <v>108334</v>
      </c>
    </row>
    <row r="52">
      <c r="A52" t="inlineStr">
        <is>
          <t>SILTRAN</t>
        </is>
      </c>
      <c r="B52" t="inlineStr">
        <is>
          <t>50</t>
        </is>
      </c>
      <c r="C52" t="inlineStr">
        <is>
          <t>sitagliptina</t>
        </is>
      </c>
      <c r="D52" t="inlineStr">
        <is>
          <t>SILTRAN</t>
        </is>
      </c>
      <c r="E52" t="n">
        <v>12</v>
      </c>
      <c r="F52" s="2" t="n">
        <v>107768.22</v>
      </c>
      <c r="G52" t="inlineStr">
        <is>
          <t>Gador — XELEVIA</t>
        </is>
      </c>
      <c r="H52" s="3" t="n">
        <v>54328</v>
      </c>
    </row>
    <row r="53">
      <c r="A53" t="inlineStr">
        <is>
          <t>SILTRAN</t>
        </is>
      </c>
      <c r="B53" t="inlineStr">
        <is>
          <t>100</t>
        </is>
      </c>
      <c r="C53" t="inlineStr">
        <is>
          <t>sitagliptina</t>
        </is>
      </c>
      <c r="D53" t="inlineStr">
        <is>
          <t>SILTRAN</t>
        </is>
      </c>
      <c r="E53" t="n">
        <v>12</v>
      </c>
      <c r="F53" s="2" t="n">
        <v>115577.51</v>
      </c>
      <c r="G53" t="inlineStr">
        <is>
          <t>Gador — XELEVIA</t>
        </is>
      </c>
      <c r="H53" s="3" t="n">
        <v>216399</v>
      </c>
    </row>
    <row r="54">
      <c r="A54" t="inlineStr">
        <is>
          <t>SILTRAN MET</t>
        </is>
      </c>
      <c r="B54" t="inlineStr">
        <is>
          <t>50/500</t>
        </is>
      </c>
      <c r="C54" t="inlineStr">
        <is>
          <t>sitagliptina+metformina,clorh.</t>
        </is>
      </c>
      <c r="D54" t="inlineStr">
        <is>
          <t>SILTRAN MET</t>
        </is>
      </c>
      <c r="E54" t="n">
        <v>6</v>
      </c>
      <c r="F54" s="2" t="n">
        <v>60912.47</v>
      </c>
      <c r="G54" t="inlineStr">
        <is>
          <t>Gador — XELEVIA MET</t>
        </is>
      </c>
      <c r="H54" s="3" t="n">
        <v>32213</v>
      </c>
    </row>
    <row r="55">
      <c r="A55" t="inlineStr">
        <is>
          <t>SILTRAN MET</t>
        </is>
      </c>
      <c r="B55" t="inlineStr">
        <is>
          <t>50/850</t>
        </is>
      </c>
      <c r="C55" t="inlineStr">
        <is>
          <t>sitagliptina+metformina,clorh.</t>
        </is>
      </c>
      <c r="D55" t="inlineStr">
        <is>
          <t>SILTRAN MET</t>
        </is>
      </c>
      <c r="E55" t="n">
        <v>14</v>
      </c>
      <c r="F55" s="2" t="n">
        <v>113993.45</v>
      </c>
      <c r="G55" t="inlineStr">
        <is>
          <t>Gador — XELEVIA MET</t>
        </is>
      </c>
      <c r="H55" s="3" t="n">
        <v>138532</v>
      </c>
    </row>
    <row r="56">
      <c r="A56" t="inlineStr">
        <is>
          <t>SILTRAN MET</t>
        </is>
      </c>
      <c r="B56" t="inlineStr">
        <is>
          <t>50/1000</t>
        </is>
      </c>
      <c r="C56" t="inlineStr">
        <is>
          <t>sitagliptina+metformina,clorh.</t>
        </is>
      </c>
      <c r="D56" t="inlineStr">
        <is>
          <t>SILTRAN MET</t>
        </is>
      </c>
      <c r="E56" t="n">
        <v>20</v>
      </c>
      <c r="F56" s="2" t="n">
        <v>132252.14</v>
      </c>
      <c r="G56" t="inlineStr">
        <is>
          <t>Gador — XELEVIA MET</t>
        </is>
      </c>
      <c r="H56" s="3" t="n">
        <v>84989</v>
      </c>
    </row>
    <row r="57">
      <c r="A57" t="inlineStr">
        <is>
          <t>SINTROM</t>
        </is>
      </c>
      <c r="B57" t="inlineStr">
        <is>
          <t>1</t>
        </is>
      </c>
      <c r="C57" t="inlineStr">
        <is>
          <t>acenocumarol</t>
        </is>
      </c>
      <c r="D57" t="inlineStr">
        <is>
          <t>SINTROM</t>
        </is>
      </c>
      <c r="E57" t="n">
        <v>1</v>
      </c>
      <c r="F57" s="2" t="n">
        <v>12283.94</v>
      </c>
      <c r="G57" t="inlineStr">
        <is>
          <t>Siegfried — SINTROM</t>
        </is>
      </c>
      <c r="H57" s="3" t="n">
        <v>66178</v>
      </c>
    </row>
    <row r="58">
      <c r="A58" t="inlineStr">
        <is>
          <t>SINTROM</t>
        </is>
      </c>
      <c r="B58" t="inlineStr">
        <is>
          <t>4</t>
        </is>
      </c>
      <c r="C58" t="inlineStr">
        <is>
          <t>acenocumarol</t>
        </is>
      </c>
      <c r="D58" t="inlineStr">
        <is>
          <t>SINTROM</t>
        </is>
      </c>
      <c r="E58" t="n">
        <v>4</v>
      </c>
      <c r="F58" s="2" t="n">
        <v>37623.46</v>
      </c>
      <c r="G58" t="inlineStr">
        <is>
          <t>Siegfried — SINTROM</t>
        </is>
      </c>
      <c r="H58" s="3" t="n">
        <v>684336</v>
      </c>
    </row>
    <row r="59">
      <c r="A59" t="inlineStr">
        <is>
          <t>TERLOC</t>
        </is>
      </c>
      <c r="B59" t="inlineStr">
        <is>
          <t>2.5/10</t>
        </is>
      </c>
      <c r="C59" t="inlineStr">
        <is>
          <t>amlodipina+benazepril</t>
        </is>
      </c>
      <c r="D59" t="inlineStr">
        <is>
          <t>TERLOC</t>
        </is>
      </c>
      <c r="E59" t="n">
        <v>4</v>
      </c>
      <c r="F59" s="2" t="n">
        <v>26330.33</v>
      </c>
      <c r="G59" t="inlineStr">
        <is>
          <t>Casasco — PELMEC DUO</t>
        </is>
      </c>
      <c r="H59" s="3" t="n">
        <v>12928</v>
      </c>
    </row>
    <row r="60">
      <c r="A60" t="inlineStr">
        <is>
          <t>TERLOC</t>
        </is>
      </c>
      <c r="B60" t="inlineStr">
        <is>
          <t>5</t>
        </is>
      </c>
      <c r="C60" t="inlineStr">
        <is>
          <t>amlodipina</t>
        </is>
      </c>
      <c r="D60" t="inlineStr">
        <is>
          <t>TERLOC</t>
        </is>
      </c>
      <c r="E60" t="n">
        <v>36</v>
      </c>
      <c r="F60" s="2" t="n">
        <v>18392.28</v>
      </c>
      <c r="G60" t="inlineStr">
        <is>
          <t>Casasco — PELMEC</t>
        </is>
      </c>
      <c r="H60" s="3" t="n">
        <v>797624</v>
      </c>
    </row>
    <row r="61">
      <c r="A61" t="inlineStr">
        <is>
          <t>TERLOC</t>
        </is>
      </c>
      <c r="B61" t="inlineStr">
        <is>
          <t>5/10</t>
        </is>
      </c>
      <c r="C61" t="inlineStr">
        <is>
          <t>amlodipina+benazepril</t>
        </is>
      </c>
      <c r="D61" t="inlineStr">
        <is>
          <t>TERLOC</t>
        </is>
      </c>
      <c r="E61" t="n">
        <v>4</v>
      </c>
      <c r="F61" s="2" t="n">
        <v>35215.95</v>
      </c>
      <c r="G61" t="inlineStr">
        <is>
          <t>Casasco — PELMEC DUO</t>
        </is>
      </c>
      <c r="H61" s="3" t="n">
        <v>100684</v>
      </c>
    </row>
    <row r="62">
      <c r="A62" t="inlineStr">
        <is>
          <t>TERLOC</t>
        </is>
      </c>
      <c r="B62" t="inlineStr">
        <is>
          <t>5/20</t>
        </is>
      </c>
      <c r="C62" t="inlineStr">
        <is>
          <t>amlodipina+benazepril</t>
        </is>
      </c>
      <c r="D62" t="inlineStr">
        <is>
          <t>TERLOC</t>
        </is>
      </c>
      <c r="E62" t="n">
        <v>4</v>
      </c>
      <c r="F62" s="2" t="n">
        <v>47384.2</v>
      </c>
      <c r="G62" t="inlineStr">
        <is>
          <t>Casasco — PELMEC DUO</t>
        </is>
      </c>
      <c r="H62" s="3" t="n">
        <v>17065</v>
      </c>
    </row>
    <row r="63">
      <c r="A63" t="inlineStr">
        <is>
          <t>TERLOC</t>
        </is>
      </c>
      <c r="B63" t="inlineStr">
        <is>
          <t>10</t>
        </is>
      </c>
      <c r="C63" t="inlineStr">
        <is>
          <t>amlodipina</t>
        </is>
      </c>
      <c r="D63" t="inlineStr">
        <is>
          <t>TERLOC</t>
        </is>
      </c>
      <c r="E63" t="n">
        <v>38</v>
      </c>
      <c r="F63" s="2" t="n">
        <v>33854.65</v>
      </c>
      <c r="G63" t="inlineStr">
        <is>
          <t>Casasco — PELMEC</t>
        </is>
      </c>
      <c r="H63" s="3" t="n">
        <v>554420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" customWidth="1" min="1" max="1"/>
    <col width="20.83" customWidth="1" min="2" max="2"/>
    <col width="12" customWidth="1" min="3" max="3"/>
    <col width="28.83" customWidth="1" min="4" max="4"/>
    <col width="14.83" customWidth="1" min="5" max="5"/>
    <col width="14.83" customWidth="1" min="6" max="6"/>
    <col width="12.83" customWidth="1" min="7" max="7"/>
    <col width="8.83" customWidth="1" min="8" max="8"/>
    <col width="10.83" customWidth="1" min="9" max="9"/>
    <col width="10.83" customWidth="1" min="10" max="10"/>
    <col width="12.83" customWidth="1" min="11" max="11"/>
    <col width="8.83" customWidth="1" min="12" max="12"/>
    <col width="6.83" customWidth="1" min="13" max="13"/>
  </cols>
  <sheetData>
    <row r="1">
      <c r="A1" s="4" t="inlineStr">
        <is>
          <t>Laboratorio</t>
        </is>
      </c>
      <c r="B1" s="4" t="inlineStr">
        <is>
          <t>Producto</t>
        </is>
      </c>
      <c r="C1" s="4" t="inlineStr">
        <is>
          <t>Dosis</t>
        </is>
      </c>
      <c r="D1" s="4" t="inlineStr">
        <is>
          <t>Presentación</t>
        </is>
      </c>
      <c r="E1" s="4" t="inlineStr">
        <is>
          <t>PVP Feb 2026</t>
        </is>
      </c>
      <c r="F1" s="4" t="inlineStr">
        <is>
          <t>PVP Abr 2026</t>
        </is>
      </c>
      <c r="G1" s="4" t="inlineStr">
        <is>
          <t>PVP/Unidad</t>
        </is>
      </c>
      <c r="H1" s="4" t="inlineStr">
        <is>
          <t>Var %</t>
        </is>
      </c>
      <c r="I1" s="4" t="inlineStr">
        <is>
          <t>VS SIE</t>
        </is>
      </c>
      <c r="J1" s="4" t="inlineStr">
        <is>
          <t>VS Líder</t>
        </is>
      </c>
      <c r="K1" s="4" t="inlineStr">
        <is>
          <t>IQVIA MAT U.</t>
        </is>
      </c>
      <c r="L1" s="4" t="inlineStr">
        <is>
          <t>Share %</t>
        </is>
      </c>
      <c r="M1" s="4" t="inlineStr">
        <is>
          <t>Ranking</t>
        </is>
      </c>
    </row>
    <row r="2" ht="20" customHeight="1">
      <c r="A2" s="5" t="inlineStr">
        <is>
          <t>Dosis: 10 mg — dapagliflozina</t>
        </is>
      </c>
    </row>
    <row r="3">
      <c r="A3" t="inlineStr">
        <is>
          <t>AstraZeneca</t>
        </is>
      </c>
      <c r="B3" t="inlineStr">
        <is>
          <t>FORXIGA</t>
        </is>
      </c>
      <c r="C3" t="inlineStr">
        <is>
          <t>10 mg</t>
        </is>
      </c>
      <c r="D3" t="inlineStr">
        <is>
          <t>10 mg comp.x 28</t>
        </is>
      </c>
      <c r="E3" s="2" t="n">
        <v>92888.13</v>
      </c>
      <c r="F3" s="2" t="n">
        <v>97588.27</v>
      </c>
      <c r="G3" s="2">
        <f>IFERROR(F3/28,"")</f>
        <v/>
      </c>
      <c r="H3" s="6">
        <f>IFERROR((F3-E3)/E3,"")</f>
        <v/>
      </c>
      <c r="I3" s="6">
        <f>IFERROR((G3-G13)/G13,"")</f>
        <v/>
      </c>
      <c r="J3" s="7" t="inlineStr">
        <is>
          <t>Líder</t>
        </is>
      </c>
      <c r="K3" s="3" t="n">
        <v>283699</v>
      </c>
      <c r="L3" s="6">
        <f>IFERROR(K3/SUM($K$3:$K$19),"")</f>
        <v/>
      </c>
      <c r="M3" s="8" t="n">
        <v>1</v>
      </c>
    </row>
    <row r="4">
      <c r="A4" t="inlineStr">
        <is>
          <t>Baliarda</t>
        </is>
      </c>
      <c r="B4" t="inlineStr">
        <is>
          <t>DAPAX</t>
        </is>
      </c>
      <c r="C4" t="inlineStr">
        <is>
          <t>10 mg</t>
        </is>
      </c>
      <c r="D4" t="inlineStr">
        <is>
          <t>10 mg comp.rec.x 30</t>
        </is>
      </c>
      <c r="E4" s="2" t="n">
        <v>64866.65</v>
      </c>
      <c r="F4" s="2" t="n">
        <v>65515.32</v>
      </c>
      <c r="G4" s="2">
        <f>IFERROR(F4/30,"")</f>
        <v/>
      </c>
      <c r="H4" s="6">
        <f>IFERROR((F4-E4)/E4,"")</f>
        <v/>
      </c>
      <c r="I4" s="6">
        <f>IFERROR((G4-G13)/G13,"")</f>
        <v/>
      </c>
      <c r="J4" s="6">
        <f>IFERROR((G4-G3)/G3,"")</f>
        <v/>
      </c>
      <c r="K4" s="3" t="n">
        <v>253812</v>
      </c>
      <c r="L4" s="6">
        <f>IFERROR(K4/SUM($K$3:$K$19),"")</f>
        <v/>
      </c>
      <c r="M4" s="8" t="n">
        <v>2</v>
      </c>
    </row>
    <row r="5">
      <c r="A5" t="inlineStr">
        <is>
          <t>Adium</t>
        </is>
      </c>
      <c r="B5" t="inlineStr">
        <is>
          <t>FANTER</t>
        </is>
      </c>
      <c r="C5" t="inlineStr">
        <is>
          <t>10 mg</t>
        </is>
      </c>
      <c r="D5" t="inlineStr">
        <is>
          <t>10 mg comp. x 30</t>
        </is>
      </c>
      <c r="E5" s="2" t="n">
        <v>70961.59</v>
      </c>
      <c r="F5" s="2" t="n">
        <v>74009.39</v>
      </c>
      <c r="G5" s="2">
        <f>IFERROR(F5/30,"")</f>
        <v/>
      </c>
      <c r="H5" s="6">
        <f>IFERROR((F5-E5)/E5,"")</f>
        <v/>
      </c>
      <c r="I5" s="6">
        <f>IFERROR((G5-G13)/G13,"")</f>
        <v/>
      </c>
      <c r="J5" s="6">
        <f>IFERROR((G5-G3)/G3,"")</f>
        <v/>
      </c>
      <c r="K5" s="3" t="n">
        <v>166290</v>
      </c>
      <c r="L5" s="6">
        <f>IFERROR(K5/SUM($K$3:$K$19),"")</f>
        <v/>
      </c>
      <c r="M5" s="8" t="n">
        <v>3</v>
      </c>
    </row>
    <row r="6">
      <c r="A6" t="inlineStr">
        <is>
          <t>Casasco</t>
        </is>
      </c>
      <c r="B6" t="inlineStr">
        <is>
          <t>NEDAL</t>
        </is>
      </c>
      <c r="C6" t="inlineStr">
        <is>
          <t>10 mg</t>
        </is>
      </c>
      <c r="D6" t="inlineStr">
        <is>
          <t>10 mg comp.rec.x 30</t>
        </is>
      </c>
      <c r="E6" s="2" t="n">
        <v>64790.11</v>
      </c>
      <c r="F6" s="2" t="n">
        <v>66669.02</v>
      </c>
      <c r="G6" s="2">
        <f>IFERROR(F6/30,"")</f>
        <v/>
      </c>
      <c r="H6" s="6">
        <f>IFERROR((F6-E6)/E6,"")</f>
        <v/>
      </c>
      <c r="I6" s="6">
        <f>IFERROR((G6-G13)/G13,"")</f>
        <v/>
      </c>
      <c r="J6" s="6">
        <f>IFERROR((G6-G3)/G3,"")</f>
        <v/>
      </c>
      <c r="K6" s="3" t="n">
        <v>165988</v>
      </c>
      <c r="L6" s="6">
        <f>IFERROR(K6/SUM($K$3:$K$19),"")</f>
        <v/>
      </c>
      <c r="M6" s="8" t="n">
        <v>4</v>
      </c>
    </row>
    <row r="7">
      <c r="A7" t="inlineStr">
        <is>
          <t>Casasco</t>
        </is>
      </c>
      <c r="B7" t="inlineStr">
        <is>
          <t>NEDAL</t>
        </is>
      </c>
      <c r="C7" t="inlineStr">
        <is>
          <t>10 mg</t>
        </is>
      </c>
      <c r="D7" t="inlineStr">
        <is>
          <t>10 mg comp.rec.x 60</t>
        </is>
      </c>
      <c r="E7" s="2" t="n">
        <v>125692.82</v>
      </c>
      <c r="F7" s="2" t="n">
        <v>129337.92</v>
      </c>
      <c r="G7" s="2">
        <f>IFERROR(F7/60,"")</f>
        <v/>
      </c>
      <c r="H7" s="6">
        <f>IFERROR((F7-E7)/E7,"")</f>
        <v/>
      </c>
      <c r="I7" s="6">
        <f>IFERROR((G7-G13)/G13,"")</f>
        <v/>
      </c>
      <c r="J7" s="6">
        <f>IFERROR((G7-G3)/G3,"")</f>
        <v/>
      </c>
      <c r="K7" s="3" t="n">
        <v>165988</v>
      </c>
      <c r="L7" s="6">
        <f>IFERROR(K7/SUM($K$3:$K$19),"")</f>
        <v/>
      </c>
      <c r="M7" s="8" t="n">
        <v>5</v>
      </c>
    </row>
    <row r="8">
      <c r="A8" t="inlineStr">
        <is>
          <t>Elea</t>
        </is>
      </c>
      <c r="B8" t="inlineStr">
        <is>
          <t>DACTILUS</t>
        </is>
      </c>
      <c r="C8" t="inlineStr">
        <is>
          <t>10 mg</t>
        </is>
      </c>
      <c r="D8" t="inlineStr">
        <is>
          <t>10 mg comp.rec.x 28</t>
        </is>
      </c>
      <c r="E8" s="2" t="n">
        <v>69668.41</v>
      </c>
      <c r="F8" s="2" t="n">
        <v>70713.43000000001</v>
      </c>
      <c r="G8" s="2">
        <f>IFERROR(F8/28,"")</f>
        <v/>
      </c>
      <c r="H8" s="6">
        <f>IFERROR((F8-E8)/E8,"")</f>
        <v/>
      </c>
      <c r="I8" s="6">
        <f>IFERROR((G8-G13)/G13,"")</f>
        <v/>
      </c>
      <c r="J8" s="6">
        <f>IFERROR((G8-G3)/G3,"")</f>
        <v/>
      </c>
      <c r="K8" s="3" t="n">
        <v>135862</v>
      </c>
      <c r="L8" s="6">
        <f>IFERROR(K8/SUM($K$3:$K$19),"")</f>
        <v/>
      </c>
      <c r="M8" s="8" t="n">
        <v>6</v>
      </c>
    </row>
    <row r="9">
      <c r="A9" t="inlineStr">
        <is>
          <t>Bagó</t>
        </is>
      </c>
      <c r="B9" t="inlineStr">
        <is>
          <t>GLIFOSIN 10</t>
        </is>
      </c>
      <c r="C9" t="inlineStr">
        <is>
          <t>10 mg</t>
        </is>
      </c>
      <c r="D9" t="inlineStr">
        <is>
          <t>10 mg comp. x 30</t>
        </is>
      </c>
      <c r="E9" s="2" t="n">
        <v>70465.55</v>
      </c>
      <c r="F9" s="2" t="n">
        <v>71099.74000000001</v>
      </c>
      <c r="G9" s="2">
        <f>IFERROR(F9/30,"")</f>
        <v/>
      </c>
      <c r="H9" s="6">
        <f>IFERROR((F9-E9)/E9,"")</f>
        <v/>
      </c>
      <c r="I9" s="6">
        <f>IFERROR((G9-G13)/G13,"")</f>
        <v/>
      </c>
      <c r="J9" s="6">
        <f>IFERROR((G9-G3)/G3,"")</f>
        <v/>
      </c>
      <c r="K9" s="3" t="n">
        <v>106624</v>
      </c>
      <c r="L9" s="6">
        <f>IFERROR(K9/SUM($K$3:$K$19),"")</f>
        <v/>
      </c>
      <c r="M9" s="8" t="n">
        <v>7</v>
      </c>
    </row>
    <row r="10">
      <c r="A10" t="inlineStr">
        <is>
          <t>Montpellier</t>
        </is>
      </c>
      <c r="B10" t="inlineStr">
        <is>
          <t>DAGLIBEN</t>
        </is>
      </c>
      <c r="C10" t="inlineStr">
        <is>
          <t>10 mg</t>
        </is>
      </c>
      <c r="D10" t="inlineStr">
        <is>
          <t>10 mg comp.rec.x 30</t>
        </is>
      </c>
      <c r="E10" s="2" t="n">
        <v>63787.85</v>
      </c>
      <c r="F10" s="2" t="n">
        <v>65063.6</v>
      </c>
      <c r="G10" s="2">
        <f>IFERROR(F10/30,"")</f>
        <v/>
      </c>
      <c r="H10" s="6">
        <f>IFERROR((F10-E10)/E10,"")</f>
        <v/>
      </c>
      <c r="I10" s="6">
        <f>IFERROR((G10-G13)/G13,"")</f>
        <v/>
      </c>
      <c r="J10" s="6">
        <f>IFERROR((G10-G3)/G3,"")</f>
        <v/>
      </c>
      <c r="K10" s="3" t="n">
        <v>54790</v>
      </c>
      <c r="L10" s="6">
        <f>IFERROR(K10/SUM($K$3:$K$19),"")</f>
        <v/>
      </c>
      <c r="M10" s="8" t="n">
        <v>8</v>
      </c>
    </row>
    <row r="11">
      <c r="A11" t="inlineStr">
        <is>
          <t>Roemmers</t>
        </is>
      </c>
      <c r="B11" t="inlineStr">
        <is>
          <t>ACUS</t>
        </is>
      </c>
      <c r="C11" t="inlineStr">
        <is>
          <t>10 mg</t>
        </is>
      </c>
      <c r="D11" t="inlineStr">
        <is>
          <t>10 mg comp. x 30</t>
        </is>
      </c>
      <c r="E11" s="2" t="n">
        <v>65057</v>
      </c>
      <c r="F11" s="2" t="n">
        <v>65512</v>
      </c>
      <c r="G11" s="2">
        <f>IFERROR(F11/30,"")</f>
        <v/>
      </c>
      <c r="H11" s="6">
        <f>IFERROR((F11-E11)/E11,"")</f>
        <v/>
      </c>
      <c r="I11" s="6">
        <f>IFERROR((G11-G13)/G13,"")</f>
        <v/>
      </c>
      <c r="J11" s="6">
        <f>IFERROR((G11-G3)/G3,"")</f>
        <v/>
      </c>
      <c r="K11" s="3" t="n">
        <v>48985</v>
      </c>
      <c r="L11" s="6">
        <f>IFERROR(K11/SUM($K$3:$K$19),"")</f>
        <v/>
      </c>
      <c r="M11" s="8" t="n">
        <v>9</v>
      </c>
    </row>
    <row r="12">
      <c r="A12" t="inlineStr">
        <is>
          <t>Beta</t>
        </is>
      </c>
      <c r="B12" t="inlineStr">
        <is>
          <t>GLICINAL</t>
        </is>
      </c>
      <c r="C12" t="inlineStr">
        <is>
          <t>10 mg</t>
        </is>
      </c>
      <c r="D12" t="inlineStr">
        <is>
          <t>10 mg comp.x 28</t>
        </is>
      </c>
      <c r="E12" s="2" t="n">
        <v>68090.96000000001</v>
      </c>
      <c r="F12" s="2" t="n">
        <v>72447.82000000001</v>
      </c>
      <c r="G12" s="2">
        <f>IFERROR(F12/28,"")</f>
        <v/>
      </c>
      <c r="H12" s="6">
        <f>IFERROR((F12-E12)/E12,"")</f>
        <v/>
      </c>
      <c r="I12" s="6">
        <f>IFERROR((G12-G13)/G13,"")</f>
        <v/>
      </c>
      <c r="J12" s="6">
        <f>IFERROR((G12-G3)/G3,"")</f>
        <v/>
      </c>
      <c r="K12" s="3" t="n">
        <v>17173</v>
      </c>
      <c r="L12" s="6">
        <f>IFERROR(K12/SUM($K$3:$K$19),"")</f>
        <v/>
      </c>
      <c r="M12" s="8" t="n">
        <v>10</v>
      </c>
    </row>
    <row r="13">
      <c r="A13" s="9" t="inlineStr">
        <is>
          <t>Siegfried ★ SIE</t>
        </is>
      </c>
      <c r="B13" s="9" t="inlineStr">
        <is>
          <t>DAURAN</t>
        </is>
      </c>
      <c r="C13" s="9" t="inlineStr">
        <is>
          <t>10 mg</t>
        </is>
      </c>
      <c r="D13" s="9" t="inlineStr">
        <is>
          <t>10 mg comp.rec.x 30</t>
        </is>
      </c>
      <c r="E13" s="10" t="n">
        <v>68817.48</v>
      </c>
      <c r="F13" s="10" t="n">
        <v>68817.48</v>
      </c>
      <c r="G13" s="10">
        <f>IFERROR(F13/30,"")</f>
        <v/>
      </c>
      <c r="H13" s="11" t="n"/>
      <c r="I13" s="11" t="n"/>
      <c r="J13" s="11">
        <f>IFERROR((G13-G3)/G3,"")</f>
        <v/>
      </c>
      <c r="K13" s="12" t="n">
        <v>12955</v>
      </c>
      <c r="L13" s="11">
        <f>IFERROR(K13/SUM($K$3:$K$19),"")</f>
        <v/>
      </c>
      <c r="M13" s="13" t="n">
        <v>11</v>
      </c>
    </row>
    <row r="14">
      <c r="A14" t="inlineStr">
        <is>
          <t>Richmond</t>
        </is>
      </c>
      <c r="B14" t="inlineStr">
        <is>
          <t>DONSYBA</t>
        </is>
      </c>
      <c r="C14" t="inlineStr">
        <is>
          <t>10 mg</t>
        </is>
      </c>
      <c r="D14" t="inlineStr">
        <is>
          <t>10 mg comp. x 30</t>
        </is>
      </c>
      <c r="E14" s="2" t="n">
        <v>69690.75999999999</v>
      </c>
      <c r="F14" s="2" t="n">
        <v>70736.12</v>
      </c>
      <c r="G14" s="2">
        <f>IFERROR(F14/30,"")</f>
        <v/>
      </c>
      <c r="H14" s="6">
        <f>IFERROR((F14-E14)/E14,"")</f>
        <v/>
      </c>
      <c r="I14" s="6">
        <f>IFERROR((G14-G13)/G13,"")</f>
        <v/>
      </c>
      <c r="J14" s="6">
        <f>IFERROR((G14-G3)/G3,"")</f>
        <v/>
      </c>
      <c r="K14" s="3" t="n">
        <v>6086</v>
      </c>
      <c r="L14" s="6">
        <f>IFERROR(K14/SUM($K$3:$K$19),"")</f>
        <v/>
      </c>
      <c r="M14" s="8" t="n">
        <v>12</v>
      </c>
    </row>
    <row r="15">
      <c r="A15" t="inlineStr">
        <is>
          <t>Roemmers</t>
        </is>
      </c>
      <c r="B15" t="inlineStr">
        <is>
          <t>ACUS</t>
        </is>
      </c>
      <c r="C15" t="inlineStr">
        <is>
          <t>10 mg</t>
        </is>
      </c>
      <c r="D15" t="inlineStr">
        <is>
          <t>10 mg comp.rec. x 60</t>
        </is>
      </c>
      <c r="E15" s="2" t="n">
        <v>123608</v>
      </c>
      <c r="F15" s="2" t="n">
        <v>124473</v>
      </c>
      <c r="G15" s="2">
        <f>IFERROR(F15/60,"")</f>
        <v/>
      </c>
      <c r="H15" s="6">
        <f>IFERROR((F15-E15)/E15,"")</f>
        <v/>
      </c>
      <c r="I15" s="6">
        <f>IFERROR((G15-G13)/G13,"")</f>
        <v/>
      </c>
      <c r="J15" s="6">
        <f>IFERROR((G15-G3)/G3,"")</f>
        <v/>
      </c>
      <c r="K15" s="3" t="n">
        <v>4374</v>
      </c>
      <c r="L15" s="6">
        <f>IFERROR(K15/SUM($K$3:$K$19),"")</f>
        <v/>
      </c>
      <c r="M15" s="8" t="n">
        <v>13</v>
      </c>
    </row>
    <row r="16">
      <c r="A16" t="inlineStr">
        <is>
          <t>Teva Argentina</t>
        </is>
      </c>
      <c r="B16" t="inlineStr">
        <is>
          <t>JALORESE</t>
        </is>
      </c>
      <c r="C16" t="inlineStr">
        <is>
          <t>10 mg</t>
        </is>
      </c>
      <c r="D16" t="inlineStr">
        <is>
          <t>10 mg comp.x 28</t>
        </is>
      </c>
      <c r="E16" s="2" t="n">
        <v>69496.10000000001</v>
      </c>
      <c r="F16" s="2" t="n">
        <v>72161.95</v>
      </c>
      <c r="G16" s="2">
        <f>IFERROR(F16/28,"")</f>
        <v/>
      </c>
      <c r="H16" s="6">
        <f>IFERROR((F16-E16)/E16,"")</f>
        <v/>
      </c>
      <c r="I16" s="6">
        <f>IFERROR((G16-G13)/G13,"")</f>
        <v/>
      </c>
      <c r="J16" s="6">
        <f>IFERROR((G16-G3)/G3,"")</f>
        <v/>
      </c>
      <c r="K16" s="3" t="n">
        <v>4002</v>
      </c>
      <c r="L16" s="6">
        <f>IFERROR(K16/SUM($K$3:$K$19),"")</f>
        <v/>
      </c>
      <c r="M16" s="8" t="n">
        <v>14</v>
      </c>
    </row>
    <row r="17">
      <c r="A17" t="inlineStr">
        <is>
          <t>Celnova Argentina</t>
        </is>
      </c>
      <c r="B17" t="inlineStr">
        <is>
          <t>DPG</t>
        </is>
      </c>
      <c r="C17" t="inlineStr">
        <is>
          <t>10 mg</t>
        </is>
      </c>
      <c r="D17" t="inlineStr">
        <is>
          <t>10 mg comp. x 30</t>
        </is>
      </c>
      <c r="E17" s="2" t="n">
        <v>63033.32</v>
      </c>
      <c r="F17" s="2" t="n">
        <v>64861.28</v>
      </c>
      <c r="G17" s="2">
        <f>IFERROR(F17/30,"")</f>
        <v/>
      </c>
      <c r="H17" s="6">
        <f>IFERROR((F17-E17)/E17,"")</f>
        <v/>
      </c>
      <c r="I17" s="6">
        <f>IFERROR((G17-G13)/G13,"")</f>
        <v/>
      </c>
      <c r="J17" s="6">
        <f>IFERROR((G17-G3)/G3,"")</f>
        <v/>
      </c>
      <c r="K17" s="3" t="n">
        <v>3258</v>
      </c>
      <c r="L17" s="6">
        <f>IFERROR(K17/SUM($K$3:$K$19),"")</f>
        <v/>
      </c>
      <c r="M17" s="8" t="n">
        <v>15</v>
      </c>
    </row>
    <row r="18">
      <c r="A18" t="inlineStr">
        <is>
          <t>Eurofarma</t>
        </is>
      </c>
      <c r="B18" t="inlineStr">
        <is>
          <t>GLIFOR</t>
        </is>
      </c>
      <c r="C18" t="inlineStr">
        <is>
          <t>10 mg</t>
        </is>
      </c>
      <c r="D18" t="inlineStr">
        <is>
          <t>10 mg comp.rec.x 30</t>
        </is>
      </c>
      <c r="E18" s="2" t="n">
        <v>62640.91</v>
      </c>
      <c r="F18" s="2" t="n">
        <v>62640.91</v>
      </c>
      <c r="G18" s="2">
        <f>IFERROR(F18/30,"")</f>
        <v/>
      </c>
      <c r="H18" s="6">
        <f>IFERROR((F18-E18)/E18,"")</f>
        <v/>
      </c>
      <c r="I18" s="6">
        <f>IFERROR((G18-G13)/G13,"")</f>
        <v/>
      </c>
      <c r="J18" s="6">
        <f>IFERROR((G18-G3)/G3,"")</f>
        <v/>
      </c>
      <c r="K18" s="3" t="n"/>
      <c r="L18" s="6">
        <f>IFERROR(K18/SUM($K$3:$K$19),"")</f>
        <v/>
      </c>
      <c r="M18" s="8" t="n">
        <v>16</v>
      </c>
    </row>
    <row r="19">
      <c r="A19" t="inlineStr">
        <is>
          <t>Laboratorios Bernabó</t>
        </is>
      </c>
      <c r="B19" t="inlineStr">
        <is>
          <t>DAPABER</t>
        </is>
      </c>
      <c r="C19" t="inlineStr">
        <is>
          <t>10 mg</t>
        </is>
      </c>
      <c r="D19" t="inlineStr">
        <is>
          <t>10 mg comp.rec.x 28</t>
        </is>
      </c>
      <c r="E19" s="2" t="n">
        <v>68046.27</v>
      </c>
      <c r="F19" s="2" t="n">
        <v>69407.2</v>
      </c>
      <c r="G19" s="2">
        <f>IFERROR(F19/28,"")</f>
        <v/>
      </c>
      <c r="H19" s="6">
        <f>IFERROR((F19-E19)/E19,"")</f>
        <v/>
      </c>
      <c r="I19" s="6">
        <f>IFERROR((G19-G13)/G13,"")</f>
        <v/>
      </c>
      <c r="J19" s="6">
        <f>IFERROR((G19-G3)/G3,"")</f>
        <v/>
      </c>
      <c r="K19" s="3" t="n"/>
      <c r="L19" s="6">
        <f>IFERROR(K19/SUM($K$3:$K$19),"")</f>
        <v/>
      </c>
      <c r="M19" s="8" t="n">
        <v>17</v>
      </c>
    </row>
  </sheetData>
  <mergeCells count="1"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" customWidth="1" min="1" max="1"/>
    <col width="20.83" customWidth="1" min="2" max="2"/>
    <col width="12" customWidth="1" min="3" max="3"/>
    <col width="28.83" customWidth="1" min="4" max="4"/>
    <col width="14.83" customWidth="1" min="5" max="5"/>
    <col width="14.83" customWidth="1" min="6" max="6"/>
    <col width="12.83" customWidth="1" min="7" max="7"/>
    <col width="8.83" customWidth="1" min="8" max="8"/>
    <col width="10.83" customWidth="1" min="9" max="9"/>
    <col width="10.83" customWidth="1" min="10" max="10"/>
    <col width="12.83" customWidth="1" min="11" max="11"/>
    <col width="8.83" customWidth="1" min="12" max="12"/>
    <col width="6.83" customWidth="1" min="13" max="13"/>
  </cols>
  <sheetData>
    <row r="1">
      <c r="A1" s="4" t="inlineStr">
        <is>
          <t>Laboratorio</t>
        </is>
      </c>
      <c r="B1" s="4" t="inlineStr">
        <is>
          <t>Producto</t>
        </is>
      </c>
      <c r="C1" s="4" t="inlineStr">
        <is>
          <t>Dosis</t>
        </is>
      </c>
      <c r="D1" s="4" t="inlineStr">
        <is>
          <t>Presentación</t>
        </is>
      </c>
      <c r="E1" s="4" t="inlineStr">
        <is>
          <t>PVP Feb 2026</t>
        </is>
      </c>
      <c r="F1" s="4" t="inlineStr">
        <is>
          <t>PVP Abr 2026</t>
        </is>
      </c>
      <c r="G1" s="4" t="inlineStr">
        <is>
          <t>PVP/Unidad</t>
        </is>
      </c>
      <c r="H1" s="4" t="inlineStr">
        <is>
          <t>Var %</t>
        </is>
      </c>
      <c r="I1" s="4" t="inlineStr">
        <is>
          <t>VS SIE</t>
        </is>
      </c>
      <c r="J1" s="4" t="inlineStr">
        <is>
          <t>VS Líder</t>
        </is>
      </c>
      <c r="K1" s="4" t="inlineStr">
        <is>
          <t>IQVIA MAT U.</t>
        </is>
      </c>
      <c r="L1" s="4" t="inlineStr">
        <is>
          <t>Share %</t>
        </is>
      </c>
      <c r="M1" s="4" t="inlineStr">
        <is>
          <t>Ranking</t>
        </is>
      </c>
    </row>
    <row r="2" ht="20" customHeight="1">
      <c r="A2" s="5" t="inlineStr">
        <is>
          <t>Dosis: 3.125 mg — carvedilol</t>
        </is>
      </c>
    </row>
    <row r="3">
      <c r="A3" t="inlineStr">
        <is>
          <t>Gador</t>
        </is>
      </c>
      <c r="B3" t="inlineStr">
        <is>
          <t>FILTEN</t>
        </is>
      </c>
      <c r="C3" t="inlineStr">
        <is>
          <t>3.125 mg</t>
        </is>
      </c>
      <c r="D3" t="inlineStr">
        <is>
          <t>3.125 mg comp.ran.x 60</t>
        </is>
      </c>
      <c r="E3" s="2" t="n">
        <v>13320.76</v>
      </c>
      <c r="F3" s="2" t="n">
        <v>13653.78</v>
      </c>
      <c r="G3" s="2">
        <f>IFERROR(F3/60,"")</f>
        <v/>
      </c>
      <c r="H3" s="6">
        <f>IFERROR((F3-E3)/E3,"")</f>
        <v/>
      </c>
      <c r="I3" s="6">
        <f>IFERROR((G3-G7)/G7,"")</f>
        <v/>
      </c>
      <c r="J3" s="7" t="inlineStr">
        <is>
          <t>Líder</t>
        </is>
      </c>
      <c r="K3" s="3" t="n">
        <v>91312</v>
      </c>
      <c r="L3" s="6">
        <f>IFERROR(K3/SUM($K$3:$K$16),"")</f>
        <v/>
      </c>
      <c r="M3" s="8" t="n">
        <v>1</v>
      </c>
    </row>
    <row r="4">
      <c r="A4" t="inlineStr">
        <is>
          <t>Gador</t>
        </is>
      </c>
      <c r="B4" t="inlineStr">
        <is>
          <t>FILTEN</t>
        </is>
      </c>
      <c r="C4" t="inlineStr">
        <is>
          <t>3.125 mg</t>
        </is>
      </c>
      <c r="D4" t="inlineStr">
        <is>
          <t>3.125 mg comp.ran.x 30</t>
        </is>
      </c>
      <c r="E4" s="2" t="n">
        <v>8080.68</v>
      </c>
      <c r="F4" s="2" t="n">
        <v>8282.700000000001</v>
      </c>
      <c r="G4" s="2">
        <f>IFERROR(F4/30,"")</f>
        <v/>
      </c>
      <c r="H4" s="6">
        <f>IFERROR((F4-E4)/E4,"")</f>
        <v/>
      </c>
      <c r="I4" s="6">
        <f>IFERROR((G4-G7)/G7,"")</f>
        <v/>
      </c>
      <c r="J4" s="6">
        <f>IFERROR((G4-G3)/G3,"")</f>
        <v/>
      </c>
      <c r="K4" s="3" t="n">
        <v>89859</v>
      </c>
      <c r="L4" s="6">
        <f>IFERROR(K4/SUM($K$3:$K$16),"")</f>
        <v/>
      </c>
      <c r="M4" s="8" t="n">
        <v>2</v>
      </c>
    </row>
    <row r="5">
      <c r="A5" t="inlineStr">
        <is>
          <t>Bagó</t>
        </is>
      </c>
      <c r="B5" t="inlineStr">
        <is>
          <t>CARVEDIL 3.125</t>
        </is>
      </c>
      <c r="C5" t="inlineStr">
        <is>
          <t>3.125 mg</t>
        </is>
      </c>
      <c r="D5" t="inlineStr">
        <is>
          <t>3.125 mg comp.x 30</t>
        </is>
      </c>
      <c r="E5" s="2" t="n">
        <v>8542.559999999999</v>
      </c>
      <c r="F5" s="2" t="n">
        <v>8761.24</v>
      </c>
      <c r="G5" s="2">
        <f>IFERROR(F5/30,"")</f>
        <v/>
      </c>
      <c r="H5" s="6">
        <f>IFERROR((F5-E5)/E5,"")</f>
        <v/>
      </c>
      <c r="I5" s="6">
        <f>IFERROR((G5-G7)/G7,"")</f>
        <v/>
      </c>
      <c r="J5" s="6">
        <f>IFERROR((G5-G3)/G3,"")</f>
        <v/>
      </c>
      <c r="K5" s="3" t="n">
        <v>65095</v>
      </c>
      <c r="L5" s="6">
        <f>IFERROR(K5/SUM($K$3:$K$16),"")</f>
        <v/>
      </c>
      <c r="M5" s="8" t="n">
        <v>3</v>
      </c>
    </row>
    <row r="6">
      <c r="A6" t="inlineStr">
        <is>
          <t>Bagó</t>
        </is>
      </c>
      <c r="B6" t="inlineStr">
        <is>
          <t>CARVEDIL 3.125</t>
        </is>
      </c>
      <c r="C6" t="inlineStr">
        <is>
          <t>3.125 mg</t>
        </is>
      </c>
      <c r="D6" t="inlineStr">
        <is>
          <t>3.125 mg comp.x 28</t>
        </is>
      </c>
      <c r="E6" s="2" t="n">
        <v>8300.35</v>
      </c>
      <c r="F6" s="2" t="n">
        <v>8512.84</v>
      </c>
      <c r="G6" s="2">
        <f>IFERROR(F6/28,"")</f>
        <v/>
      </c>
      <c r="H6" s="6">
        <f>IFERROR((F6-E6)/E6,"")</f>
        <v/>
      </c>
      <c r="I6" s="6">
        <f>IFERROR((G6-G7)/G7,"")</f>
        <v/>
      </c>
      <c r="J6" s="6">
        <f>IFERROR((G6-G3)/G3,"")</f>
        <v/>
      </c>
      <c r="K6" s="3" t="n">
        <v>56144</v>
      </c>
      <c r="L6" s="6">
        <f>IFERROR(K6/SUM($K$3:$K$16),"")</f>
        <v/>
      </c>
      <c r="M6" s="8" t="n">
        <v>4</v>
      </c>
    </row>
    <row r="7">
      <c r="A7" s="9" t="inlineStr">
        <is>
          <t>Siegfried ★ SIE</t>
        </is>
      </c>
      <c r="B7" s="9" t="inlineStr">
        <is>
          <t>DILATREND</t>
        </is>
      </c>
      <c r="C7" s="9" t="inlineStr">
        <is>
          <t>3.125 mg</t>
        </is>
      </c>
      <c r="D7" s="9" t="inlineStr">
        <is>
          <t>3.125 mg comp.ran.x 30</t>
        </is>
      </c>
      <c r="E7" s="10" t="n">
        <v>8024.92</v>
      </c>
      <c r="F7" s="10" t="n">
        <v>8241.59</v>
      </c>
      <c r="G7" s="10">
        <f>IFERROR(F7/30,"")</f>
        <v/>
      </c>
      <c r="H7" s="11" t="n"/>
      <c r="I7" s="11" t="n"/>
      <c r="J7" s="11">
        <f>IFERROR((G7-G3)/G3,"")</f>
        <v/>
      </c>
      <c r="K7" s="12" t="n">
        <v>48645</v>
      </c>
      <c r="L7" s="11">
        <f>IFERROR(K7/SUM($K$3:$K$16),"")</f>
        <v/>
      </c>
      <c r="M7" s="13" t="n">
        <v>5</v>
      </c>
    </row>
    <row r="8">
      <c r="A8" t="inlineStr">
        <is>
          <t>Bagó</t>
        </is>
      </c>
      <c r="B8" t="inlineStr">
        <is>
          <t>CARVEDIL 3.125</t>
        </is>
      </c>
      <c r="C8" t="inlineStr">
        <is>
          <t>3.125 mg</t>
        </is>
      </c>
      <c r="D8" t="inlineStr">
        <is>
          <t>3.125 mg comp.x 60</t>
        </is>
      </c>
      <c r="E8" s="2" t="n">
        <v>13950.6</v>
      </c>
      <c r="F8" s="2" t="n">
        <v>14307.74</v>
      </c>
      <c r="G8" s="2">
        <f>IFERROR(F8/60,"")</f>
        <v/>
      </c>
      <c r="H8" s="6">
        <f>IFERROR((F8-E8)/E8,"")</f>
        <v/>
      </c>
      <c r="I8" s="6">
        <f>IFERROR((G8-G7)/G7,"")</f>
        <v/>
      </c>
      <c r="J8" s="6">
        <f>IFERROR((G8-G3)/G3,"")</f>
        <v/>
      </c>
      <c r="K8" s="3" t="n">
        <v>40199</v>
      </c>
      <c r="L8" s="6">
        <f>IFERROR(K8/SUM($K$3:$K$16),"")</f>
        <v/>
      </c>
      <c r="M8" s="8" t="n">
        <v>6</v>
      </c>
    </row>
    <row r="9">
      <c r="A9" t="inlineStr">
        <is>
          <t>Baliarda</t>
        </is>
      </c>
      <c r="B9" t="inlineStr">
        <is>
          <t>BIDECAR</t>
        </is>
      </c>
      <c r="C9" t="inlineStr">
        <is>
          <t>3.125 mg</t>
        </is>
      </c>
      <c r="D9" t="inlineStr">
        <is>
          <t>3.125 mg comp.ran.x 56</t>
        </is>
      </c>
      <c r="E9" s="2" t="n">
        <v>13071.33</v>
      </c>
      <c r="F9" s="2" t="n">
        <v>13450.4</v>
      </c>
      <c r="G9" s="2">
        <f>IFERROR(F9/56,"")</f>
        <v/>
      </c>
      <c r="H9" s="6">
        <f>IFERROR((F9-E9)/E9,"")</f>
        <v/>
      </c>
      <c r="I9" s="6">
        <f>IFERROR((G9-G7)/G7,"")</f>
        <v/>
      </c>
      <c r="J9" s="6">
        <f>IFERROR((G9-G3)/G3,"")</f>
        <v/>
      </c>
      <c r="K9" s="3" t="n">
        <v>15230</v>
      </c>
      <c r="L9" s="6">
        <f>IFERROR(K9/SUM($K$3:$K$16),"")</f>
        <v/>
      </c>
      <c r="M9" s="8" t="n">
        <v>7</v>
      </c>
    </row>
    <row r="10">
      <c r="A10" t="inlineStr">
        <is>
          <t>Baliarda</t>
        </is>
      </c>
      <c r="B10" t="inlineStr">
        <is>
          <t>BIDECAR</t>
        </is>
      </c>
      <c r="C10" t="inlineStr">
        <is>
          <t>3.125 mg</t>
        </is>
      </c>
      <c r="D10" t="inlineStr">
        <is>
          <t>3.125 mg comp.ran.x 28</t>
        </is>
      </c>
      <c r="E10" s="2" t="n">
        <v>7951.6</v>
      </c>
      <c r="F10" s="2" t="n">
        <v>8182.2</v>
      </c>
      <c r="G10" s="2">
        <f>IFERROR(F10/28,"")</f>
        <v/>
      </c>
      <c r="H10" s="6">
        <f>IFERROR((F10-E10)/E10,"")</f>
        <v/>
      </c>
      <c r="I10" s="6">
        <f>IFERROR((G10-G7)/G7,"")</f>
        <v/>
      </c>
      <c r="J10" s="6">
        <f>IFERROR((G10-G3)/G3,"")</f>
        <v/>
      </c>
      <c r="K10" s="3" t="n">
        <v>14199</v>
      </c>
      <c r="L10" s="6">
        <f>IFERROR(K10/SUM($K$3:$K$16),"")</f>
        <v/>
      </c>
      <c r="M10" s="8" t="n">
        <v>8</v>
      </c>
    </row>
    <row r="11">
      <c r="A11" t="inlineStr">
        <is>
          <t>Elea</t>
        </is>
      </c>
      <c r="B11" t="inlineStr">
        <is>
          <t>VERATEN</t>
        </is>
      </c>
      <c r="C11" t="inlineStr">
        <is>
          <t>3.125 mg</t>
        </is>
      </c>
      <c r="D11" t="inlineStr">
        <is>
          <t>3.125 mg comp.x 30</t>
        </is>
      </c>
      <c r="E11" s="2" t="n">
        <v>8844.6</v>
      </c>
      <c r="F11" s="2" t="n">
        <v>9383.200000000001</v>
      </c>
      <c r="G11" s="2">
        <f>IFERROR(F11/30,"")</f>
        <v/>
      </c>
      <c r="H11" s="6">
        <f>IFERROR((F11-E11)/E11,"")</f>
        <v/>
      </c>
      <c r="I11" s="6">
        <f>IFERROR((G11-G7)/G7,"")</f>
        <v/>
      </c>
      <c r="J11" s="6">
        <f>IFERROR((G11-G3)/G3,"")</f>
        <v/>
      </c>
      <c r="K11" s="3" t="n">
        <v>10740</v>
      </c>
      <c r="L11" s="6">
        <f>IFERROR(K11/SUM($K$3:$K$16),"")</f>
        <v/>
      </c>
      <c r="M11" s="8" t="n">
        <v>9</v>
      </c>
    </row>
    <row r="12">
      <c r="A12" t="inlineStr">
        <is>
          <t>Casasco</t>
        </is>
      </c>
      <c r="B12" t="inlineStr">
        <is>
          <t>ISOBLOC</t>
        </is>
      </c>
      <c r="C12" t="inlineStr">
        <is>
          <t>3.125 mg</t>
        </is>
      </c>
      <c r="D12" t="inlineStr">
        <is>
          <t>3.125 mg comp.x 30</t>
        </is>
      </c>
      <c r="E12" s="2" t="n">
        <v>7788.610000000001</v>
      </c>
      <c r="F12" s="2" t="n">
        <v>8014.49</v>
      </c>
      <c r="G12" s="2">
        <f>IFERROR(F12/30,"")</f>
        <v/>
      </c>
      <c r="H12" s="6">
        <f>IFERROR((F12-E12)/E12,"")</f>
        <v/>
      </c>
      <c r="I12" s="6">
        <f>IFERROR((G12-G7)/G7,"")</f>
        <v/>
      </c>
      <c r="J12" s="6">
        <f>IFERROR((G12-G3)/G3,"")</f>
        <v/>
      </c>
      <c r="K12" s="3" t="n">
        <v>9190</v>
      </c>
      <c r="L12" s="6">
        <f>IFERROR(K12/SUM($K$3:$K$16),"")</f>
        <v/>
      </c>
      <c r="M12" s="8" t="n">
        <v>10</v>
      </c>
    </row>
    <row r="13">
      <c r="A13" t="inlineStr">
        <is>
          <t>Casasco</t>
        </is>
      </c>
      <c r="B13" t="inlineStr">
        <is>
          <t>ISOBLOC</t>
        </is>
      </c>
      <c r="C13" t="inlineStr">
        <is>
          <t>3.125 mg</t>
        </is>
      </c>
      <c r="D13" t="inlineStr">
        <is>
          <t>3.125 mg comp.x 60</t>
        </is>
      </c>
      <c r="E13" s="2" t="n">
        <v>12599.03</v>
      </c>
      <c r="F13" s="2" t="n">
        <v>12964.4</v>
      </c>
      <c r="G13" s="2">
        <f>IFERROR(F13/60,"")</f>
        <v/>
      </c>
      <c r="H13" s="6">
        <f>IFERROR((F13-E13)/E13,"")</f>
        <v/>
      </c>
      <c r="I13" s="6">
        <f>IFERROR((G13-G7)/G7,"")</f>
        <v/>
      </c>
      <c r="J13" s="6">
        <f>IFERROR((G13-G3)/G3,"")</f>
        <v/>
      </c>
      <c r="K13" s="3" t="n">
        <v>7671</v>
      </c>
      <c r="L13" s="6">
        <f>IFERROR(K13/SUM($K$3:$K$16),"")</f>
        <v/>
      </c>
      <c r="M13" s="8" t="n">
        <v>11</v>
      </c>
    </row>
    <row r="14">
      <c r="A14" t="inlineStr">
        <is>
          <t>Baliarda</t>
        </is>
      </c>
      <c r="B14" t="inlineStr">
        <is>
          <t>BIDECAR</t>
        </is>
      </c>
      <c r="C14" t="inlineStr">
        <is>
          <t>3.125 mg</t>
        </is>
      </c>
      <c r="D14" t="inlineStr">
        <is>
          <t>3.125 mg comp.ran.x 30</t>
        </is>
      </c>
      <c r="E14" s="2" t="n">
        <v>7945.2</v>
      </c>
      <c r="F14" s="2" t="n">
        <v>8175.610000000001</v>
      </c>
      <c r="G14" s="2">
        <f>IFERROR(F14/30,"")</f>
        <v/>
      </c>
      <c r="H14" s="6">
        <f>IFERROR((F14-E14)/E14,"")</f>
        <v/>
      </c>
      <c r="I14" s="6">
        <f>IFERROR((G14-G7)/G7,"")</f>
        <v/>
      </c>
      <c r="J14" s="6">
        <f>IFERROR((G14-G3)/G3,"")</f>
        <v/>
      </c>
      <c r="K14" s="3" t="n">
        <v>4294</v>
      </c>
      <c r="L14" s="6">
        <f>IFERROR(K14/SUM($K$3:$K$16),"")</f>
        <v/>
      </c>
      <c r="M14" s="8" t="n">
        <v>12</v>
      </c>
    </row>
    <row r="15">
      <c r="A15" t="inlineStr">
        <is>
          <t>Baliarda</t>
        </is>
      </c>
      <c r="B15" t="inlineStr">
        <is>
          <t>BIDECAR</t>
        </is>
      </c>
      <c r="C15" t="inlineStr">
        <is>
          <t>3.125 mg</t>
        </is>
      </c>
      <c r="D15" t="inlineStr">
        <is>
          <t>3.125 mg comp.ran.x 60</t>
        </is>
      </c>
      <c r="E15" s="2" t="n">
        <v>13035.91</v>
      </c>
      <c r="F15" s="2" t="n">
        <v>13413.95</v>
      </c>
      <c r="G15" s="2">
        <f>IFERROR(F15/60,"")</f>
        <v/>
      </c>
      <c r="H15" s="6">
        <f>IFERROR((F15-E15)/E15,"")</f>
        <v/>
      </c>
      <c r="I15" s="6">
        <f>IFERROR((G15-G7)/G7,"")</f>
        <v/>
      </c>
      <c r="J15" s="6">
        <f>IFERROR((G15-G3)/G3,"")</f>
        <v/>
      </c>
      <c r="K15" s="3" t="n">
        <v>3482</v>
      </c>
      <c r="L15" s="6">
        <f>IFERROR(K15/SUM($K$3:$K$16),"")</f>
        <v/>
      </c>
      <c r="M15" s="8" t="n">
        <v>13</v>
      </c>
    </row>
    <row r="16">
      <c r="A16" t="inlineStr">
        <is>
          <t>Lepetit</t>
        </is>
      </c>
      <c r="B16" t="inlineStr">
        <is>
          <t>VEDILEP 3.125</t>
        </is>
      </c>
      <c r="C16" t="inlineStr">
        <is>
          <t>3.125 mg</t>
        </is>
      </c>
      <c r="D16" t="inlineStr">
        <is>
          <t>3.125 mg comp.x 28</t>
        </is>
      </c>
      <c r="E16" s="2" t="n">
        <v>7300</v>
      </c>
      <c r="F16" s="2" t="n">
        <v>7670</v>
      </c>
      <c r="G16" s="2">
        <f>IFERROR(F16/28,"")</f>
        <v/>
      </c>
      <c r="H16" s="6">
        <f>IFERROR((F16-E16)/E16,"")</f>
        <v/>
      </c>
      <c r="I16" s="6">
        <f>IFERROR((G16-G7)/G7,"")</f>
        <v/>
      </c>
      <c r="J16" s="6">
        <f>IFERROR((G16-G3)/G3,"")</f>
        <v/>
      </c>
      <c r="K16" s="3" t="n">
        <v>50</v>
      </c>
      <c r="L16" s="6">
        <f>IFERROR(K16/SUM($K$3:$K$16),"")</f>
        <v/>
      </c>
      <c r="M16" s="8" t="n">
        <v>14</v>
      </c>
    </row>
    <row r="18" ht="20" customHeight="1">
      <c r="A18" s="5" t="inlineStr">
        <is>
          <t>Dosis: 6.25 mg — carvedilol</t>
        </is>
      </c>
    </row>
    <row r="19">
      <c r="A19" t="inlineStr">
        <is>
          <t>Gador</t>
        </is>
      </c>
      <c r="B19" t="inlineStr">
        <is>
          <t>FILTEN</t>
        </is>
      </c>
      <c r="C19" t="inlineStr">
        <is>
          <t>6.25 mg</t>
        </is>
      </c>
      <c r="D19" t="inlineStr">
        <is>
          <t>6.25 mg comp.ran.x 30</t>
        </is>
      </c>
      <c r="E19" s="2" t="n">
        <v>14916.81</v>
      </c>
      <c r="F19" s="2" t="n">
        <v>15289.73</v>
      </c>
      <c r="G19" s="2">
        <f>IFERROR(F19/30,"")</f>
        <v/>
      </c>
      <c r="H19" s="6">
        <f>IFERROR((F19-E19)/E19,"")</f>
        <v/>
      </c>
      <c r="I19" s="6">
        <f>IFERROR((G19-G23)/G23,"")</f>
        <v/>
      </c>
      <c r="J19" s="7" t="inlineStr">
        <is>
          <t>Líder</t>
        </is>
      </c>
      <c r="K19" s="3" t="n">
        <v>209963</v>
      </c>
      <c r="L19" s="6">
        <f>IFERROR(K19/SUM($K$19:$K$53),"")</f>
        <v/>
      </c>
      <c r="M19" s="8" t="n">
        <v>1</v>
      </c>
    </row>
    <row r="20">
      <c r="A20" t="inlineStr">
        <is>
          <t>Gador</t>
        </is>
      </c>
      <c r="B20" t="inlineStr">
        <is>
          <t>FILTEN</t>
        </is>
      </c>
      <c r="C20" t="inlineStr">
        <is>
          <t>6.25 mg</t>
        </is>
      </c>
      <c r="D20" t="inlineStr">
        <is>
          <t>6.25 mg comp.ran.x 60</t>
        </is>
      </c>
      <c r="E20" s="2" t="n">
        <v>24032.56</v>
      </c>
      <c r="F20" s="2" t="n">
        <v>24633.37</v>
      </c>
      <c r="G20" s="2">
        <f>IFERROR(F20/60,"")</f>
        <v/>
      </c>
      <c r="H20" s="6">
        <f>IFERROR((F20-E20)/E20,"")</f>
        <v/>
      </c>
      <c r="I20" s="6">
        <f>IFERROR((G20-G23)/G23,"")</f>
        <v/>
      </c>
      <c r="J20" s="6">
        <f>IFERROR((G20-G19)/G19,"")</f>
        <v/>
      </c>
      <c r="K20" s="3" t="n">
        <v>183438</v>
      </c>
      <c r="L20" s="6">
        <f>IFERROR(K20/SUM($K$19:$K$53),"")</f>
        <v/>
      </c>
      <c r="M20" s="8" t="n">
        <v>2</v>
      </c>
    </row>
    <row r="21">
      <c r="A21" t="inlineStr">
        <is>
          <t>Bagó</t>
        </is>
      </c>
      <c r="B21" t="inlineStr">
        <is>
          <t>CARVEDIL 6.25</t>
        </is>
      </c>
      <c r="C21" t="inlineStr">
        <is>
          <t>6.25 mg</t>
        </is>
      </c>
      <c r="D21" t="inlineStr">
        <is>
          <t>6.25 mg comp.x 30</t>
        </is>
      </c>
      <c r="E21" s="2" t="n">
        <v>15621.98</v>
      </c>
      <c r="F21" s="2" t="n">
        <v>16021.9</v>
      </c>
      <c r="G21" s="2">
        <f>IFERROR(F21/30,"")</f>
        <v/>
      </c>
      <c r="H21" s="6">
        <f>IFERROR((F21-E21)/E21,"")</f>
        <v/>
      </c>
      <c r="I21" s="6">
        <f>IFERROR((G21-G23)/G23,"")</f>
        <v/>
      </c>
      <c r="J21" s="6">
        <f>IFERROR((G21-G19)/G19,"")</f>
        <v/>
      </c>
      <c r="K21" s="3" t="n">
        <v>147291</v>
      </c>
      <c r="L21" s="6">
        <f>IFERROR(K21/SUM($K$19:$K$53),"")</f>
        <v/>
      </c>
      <c r="M21" s="8" t="n">
        <v>3</v>
      </c>
    </row>
    <row r="22">
      <c r="A22" t="inlineStr">
        <is>
          <t>Casasco</t>
        </is>
      </c>
      <c r="B22" t="inlineStr">
        <is>
          <t>ISOBLOC</t>
        </is>
      </c>
      <c r="C22" t="inlineStr">
        <is>
          <t>6.25 mg</t>
        </is>
      </c>
      <c r="D22" t="inlineStr">
        <is>
          <t>6.25 mg comp.x 30</t>
        </is>
      </c>
      <c r="E22" s="2" t="n">
        <v>14384.41</v>
      </c>
      <c r="F22" s="2" t="n">
        <v>14801.56</v>
      </c>
      <c r="G22" s="2">
        <f>IFERROR(F22/30,"")</f>
        <v/>
      </c>
      <c r="H22" s="6">
        <f>IFERROR((F22-E22)/E22,"")</f>
        <v/>
      </c>
      <c r="I22" s="6">
        <f>IFERROR((G22-G23)/G23,"")</f>
        <v/>
      </c>
      <c r="J22" s="6">
        <f>IFERROR((G22-G19)/G19,"")</f>
        <v/>
      </c>
      <c r="K22" s="3" t="n">
        <v>114152</v>
      </c>
      <c r="L22" s="6">
        <f>IFERROR(K22/SUM($K$19:$K$53),"")</f>
        <v/>
      </c>
      <c r="M22" s="8" t="n">
        <v>4</v>
      </c>
    </row>
    <row r="23">
      <c r="A23" s="9" t="inlineStr">
        <is>
          <t>Siegfried ★ SIE</t>
        </is>
      </c>
      <c r="B23" s="9" t="inlineStr">
        <is>
          <t>DILATREND</t>
        </is>
      </c>
      <c r="C23" s="9" t="inlineStr">
        <is>
          <t>6.25 mg</t>
        </is>
      </c>
      <c r="D23" s="9" t="inlineStr">
        <is>
          <t>6.25 mg comp.ran.x 30</t>
        </is>
      </c>
      <c r="E23" s="10" t="n">
        <v>15238.83</v>
      </c>
      <c r="F23" s="10" t="n">
        <v>15650.28</v>
      </c>
      <c r="G23" s="10">
        <f>IFERROR(F23/30,"")</f>
        <v/>
      </c>
      <c r="H23" s="11" t="n"/>
      <c r="I23" s="11" t="n"/>
      <c r="J23" s="11">
        <f>IFERROR((G23-G19)/G19,"")</f>
        <v/>
      </c>
      <c r="K23" s="12" t="n">
        <v>113311</v>
      </c>
      <c r="L23" s="11">
        <f>IFERROR(K23/SUM($K$19:$K$53),"")</f>
        <v/>
      </c>
      <c r="M23" s="13" t="n">
        <v>5</v>
      </c>
    </row>
    <row r="24">
      <c r="A24" t="inlineStr">
        <is>
          <t>Bagó</t>
        </is>
      </c>
      <c r="B24" t="inlineStr">
        <is>
          <t>CARVEDIL 6.25</t>
        </is>
      </c>
      <c r="C24" t="inlineStr">
        <is>
          <t>6.25 mg</t>
        </is>
      </c>
      <c r="D24" t="inlineStr">
        <is>
          <t>6.25 mg comp.x 28</t>
        </is>
      </c>
      <c r="E24" s="2" t="n">
        <v>16080.64</v>
      </c>
      <c r="F24" s="2" t="n">
        <v>16492.31</v>
      </c>
      <c r="G24" s="2">
        <f>IFERROR(F24/28,"")</f>
        <v/>
      </c>
      <c r="H24" s="6">
        <f>IFERROR((F24-E24)/E24,"")</f>
        <v/>
      </c>
      <c r="I24" s="6">
        <f>IFERROR((G24-G23)/G23,"")</f>
        <v/>
      </c>
      <c r="J24" s="6">
        <f>IFERROR((G24-G19)/G19,"")</f>
        <v/>
      </c>
      <c r="K24" s="3" t="n">
        <v>110853</v>
      </c>
      <c r="L24" s="6">
        <f>IFERROR(K24/SUM($K$19:$K$53),"")</f>
        <v/>
      </c>
      <c r="M24" s="8" t="n">
        <v>6</v>
      </c>
    </row>
    <row r="25">
      <c r="A25" t="inlineStr">
        <is>
          <t>Bagó</t>
        </is>
      </c>
      <c r="B25" t="inlineStr">
        <is>
          <t>CARVEDIL 6.25</t>
        </is>
      </c>
      <c r="C25" t="inlineStr">
        <is>
          <t>6.25 mg</t>
        </is>
      </c>
      <c r="D25" t="inlineStr">
        <is>
          <t>6.25 mg comp.x 60</t>
        </is>
      </c>
      <c r="E25" s="2" t="n">
        <v>25168.97</v>
      </c>
      <c r="F25" s="2" t="n">
        <v>25813.29</v>
      </c>
      <c r="G25" s="2">
        <f>IFERROR(F25/60,"")</f>
        <v/>
      </c>
      <c r="H25" s="6">
        <f>IFERROR((F25-E25)/E25,"")</f>
        <v/>
      </c>
      <c r="I25" s="6">
        <f>IFERROR((G25-G23)/G23,"")</f>
        <v/>
      </c>
      <c r="J25" s="6">
        <f>IFERROR((G25-G19)/G19,"")</f>
        <v/>
      </c>
      <c r="K25" s="3" t="n">
        <v>74207</v>
      </c>
      <c r="L25" s="6">
        <f>IFERROR(K25/SUM($K$19:$K$53),"")</f>
        <v/>
      </c>
      <c r="M25" s="8" t="n">
        <v>7</v>
      </c>
    </row>
    <row r="26">
      <c r="A26" t="inlineStr">
        <is>
          <t>Casasco</t>
        </is>
      </c>
      <c r="B26" t="inlineStr">
        <is>
          <t>ISOBLOC</t>
        </is>
      </c>
      <c r="C26" t="inlineStr">
        <is>
          <t>6.25 mg</t>
        </is>
      </c>
      <c r="D26" t="inlineStr">
        <is>
          <t>6.25 mg comp.x 60</t>
        </is>
      </c>
      <c r="E26" s="2" t="n">
        <v>22514.29</v>
      </c>
      <c r="F26" s="2" t="n">
        <v>23167.21</v>
      </c>
      <c r="G26" s="2">
        <f>IFERROR(F26/60,"")</f>
        <v/>
      </c>
      <c r="H26" s="6">
        <f>IFERROR((F26-E26)/E26,"")</f>
        <v/>
      </c>
      <c r="I26" s="6">
        <f>IFERROR((G26-G23)/G23,"")</f>
        <v/>
      </c>
      <c r="J26" s="6">
        <f>IFERROR((G26-G19)/G19,"")</f>
        <v/>
      </c>
      <c r="K26" s="3" t="n">
        <v>73697</v>
      </c>
      <c r="L26" s="6">
        <f>IFERROR(K26/SUM($K$19:$K$53),"")</f>
        <v/>
      </c>
      <c r="M26" s="8" t="n">
        <v>8</v>
      </c>
    </row>
    <row r="27">
      <c r="A27" t="inlineStr">
        <is>
          <t>Baliarda</t>
        </is>
      </c>
      <c r="B27" t="inlineStr">
        <is>
          <t>BIDECAR</t>
        </is>
      </c>
      <c r="C27" t="inlineStr">
        <is>
          <t>6.25 mg</t>
        </is>
      </c>
      <c r="D27" t="inlineStr">
        <is>
          <t>6.25 mg comp.ran.x 28</t>
        </is>
      </c>
      <c r="E27" s="2" t="n">
        <v>14891.24</v>
      </c>
      <c r="F27" s="2" t="n">
        <v>15323.09</v>
      </c>
      <c r="G27" s="2">
        <f>IFERROR(F27/28,"")</f>
        <v/>
      </c>
      <c r="H27" s="6">
        <f>IFERROR((F27-E27)/E27,"")</f>
        <v/>
      </c>
      <c r="I27" s="6">
        <f>IFERROR((G27-G23)/G23,"")</f>
        <v/>
      </c>
      <c r="J27" s="6">
        <f>IFERROR((G27-G19)/G19,"")</f>
        <v/>
      </c>
      <c r="K27" s="3" t="n">
        <v>40968</v>
      </c>
      <c r="L27" s="6">
        <f>IFERROR(K27/SUM($K$19:$K$53),"")</f>
        <v/>
      </c>
      <c r="M27" s="8" t="n">
        <v>9</v>
      </c>
    </row>
    <row r="28">
      <c r="A28" t="inlineStr">
        <is>
          <t>Baliarda</t>
        </is>
      </c>
      <c r="B28" t="inlineStr">
        <is>
          <t>BIDECAR</t>
        </is>
      </c>
      <c r="C28" t="inlineStr">
        <is>
          <t>6.25 mg</t>
        </is>
      </c>
      <c r="D28" t="inlineStr">
        <is>
          <t>6.25 mg comp.ran.x 56</t>
        </is>
      </c>
      <c r="E28" s="2" t="n">
        <v>22689.41</v>
      </c>
      <c r="F28" s="2" t="n">
        <v>23347.4</v>
      </c>
      <c r="G28" s="2">
        <f>IFERROR(F28/56,"")</f>
        <v/>
      </c>
      <c r="H28" s="6">
        <f>IFERROR((F28-E28)/E28,"")</f>
        <v/>
      </c>
      <c r="I28" s="6">
        <f>IFERROR((G28-G23)/G23,"")</f>
        <v/>
      </c>
      <c r="J28" s="6">
        <f>IFERROR((G28-G19)/G19,"")</f>
        <v/>
      </c>
      <c r="K28" s="3" t="n">
        <v>40636</v>
      </c>
      <c r="L28" s="6">
        <f>IFERROR(K28/SUM($K$19:$K$53),"")</f>
        <v/>
      </c>
      <c r="M28" s="8" t="n">
        <v>10</v>
      </c>
    </row>
    <row r="29">
      <c r="A29" t="inlineStr">
        <is>
          <t>Elea</t>
        </is>
      </c>
      <c r="B29" t="inlineStr">
        <is>
          <t>VERATEN</t>
        </is>
      </c>
      <c r="C29" t="inlineStr">
        <is>
          <t>6.25 mg</t>
        </is>
      </c>
      <c r="D29" t="inlineStr">
        <is>
          <t>6.25 mg comp.x 30</t>
        </is>
      </c>
      <c r="E29" s="2" t="n">
        <v>16592.51</v>
      </c>
      <c r="F29" s="2" t="n">
        <v>17602.92</v>
      </c>
      <c r="G29" s="2">
        <f>IFERROR(F29/30,"")</f>
        <v/>
      </c>
      <c r="H29" s="6">
        <f>IFERROR((F29-E29)/E29,"")</f>
        <v/>
      </c>
      <c r="I29" s="6">
        <f>IFERROR((G29-G23)/G23,"")</f>
        <v/>
      </c>
      <c r="J29" s="6">
        <f>IFERROR((G29-G19)/G19,"")</f>
        <v/>
      </c>
      <c r="K29" s="3" t="n">
        <v>35899</v>
      </c>
      <c r="L29" s="6">
        <f>IFERROR(K29/SUM($K$19:$K$53),"")</f>
        <v/>
      </c>
      <c r="M29" s="8" t="n">
        <v>11</v>
      </c>
    </row>
    <row r="30">
      <c r="A30" t="inlineStr">
        <is>
          <t>Baliarda</t>
        </is>
      </c>
      <c r="B30" t="inlineStr">
        <is>
          <t>BIDECAR</t>
        </is>
      </c>
      <c r="C30" t="inlineStr">
        <is>
          <t>6.25 mg</t>
        </is>
      </c>
      <c r="D30" t="inlineStr">
        <is>
          <t>6.25 mg comp.ran.x 30</t>
        </is>
      </c>
      <c r="E30" s="2" t="n">
        <v>14559.57</v>
      </c>
      <c r="F30" s="2" t="n">
        <v>14850.76</v>
      </c>
      <c r="G30" s="2">
        <f>IFERROR(F30/30,"")</f>
        <v/>
      </c>
      <c r="H30" s="6">
        <f>IFERROR((F30-E30)/E30,"")</f>
        <v/>
      </c>
      <c r="I30" s="6">
        <f>IFERROR((G30-G23)/G23,"")</f>
        <v/>
      </c>
      <c r="J30" s="6">
        <f>IFERROR((G30-G19)/G19,"")</f>
        <v/>
      </c>
      <c r="K30" s="3" t="n">
        <v>9795</v>
      </c>
      <c r="L30" s="6">
        <f>IFERROR(K30/SUM($K$19:$K$53),"")</f>
        <v/>
      </c>
      <c r="M30" s="8" t="n">
        <v>12</v>
      </c>
    </row>
    <row r="31">
      <c r="A31" t="inlineStr">
        <is>
          <t>Richet</t>
        </is>
      </c>
      <c r="B31" t="inlineStr">
        <is>
          <t>CARVEDILOL RICHET</t>
        </is>
      </c>
      <c r="C31" t="inlineStr">
        <is>
          <t>6.25 mg</t>
        </is>
      </c>
      <c r="D31" t="inlineStr">
        <is>
          <t>6.25 mg comp.x 28</t>
        </is>
      </c>
      <c r="E31" s="2" t="n">
        <v>10983.45</v>
      </c>
      <c r="F31" s="2" t="n">
        <v>11203.12</v>
      </c>
      <c r="G31" s="2">
        <f>IFERROR(F31/28,"")</f>
        <v/>
      </c>
      <c r="H31" s="6">
        <f>IFERROR((F31-E31)/E31,"")</f>
        <v/>
      </c>
      <c r="I31" s="6">
        <f>IFERROR((G31-G23)/G23,"")</f>
        <v/>
      </c>
      <c r="J31" s="6">
        <f>IFERROR((G31-G19)/G19,"")</f>
        <v/>
      </c>
      <c r="K31" s="3" t="n">
        <v>8841</v>
      </c>
      <c r="L31" s="6">
        <f>IFERROR(K31/SUM($K$19:$K$53),"")</f>
        <v/>
      </c>
      <c r="M31" s="8" t="n">
        <v>13</v>
      </c>
    </row>
    <row r="32">
      <c r="A32" t="inlineStr">
        <is>
          <t>Baliarda</t>
        </is>
      </c>
      <c r="B32" t="inlineStr">
        <is>
          <t>BIDECAR</t>
        </is>
      </c>
      <c r="C32" t="inlineStr">
        <is>
          <t>6.25 mg</t>
        </is>
      </c>
      <c r="D32" t="inlineStr">
        <is>
          <t>6.25 mg comp.ran.x 60</t>
        </is>
      </c>
      <c r="E32" s="2" t="n">
        <v>22991.6</v>
      </c>
      <c r="F32" s="2" t="n">
        <v>23658.36</v>
      </c>
      <c r="G32" s="2">
        <f>IFERROR(F32/60,"")</f>
        <v/>
      </c>
      <c r="H32" s="6">
        <f>IFERROR((F32-E32)/E32,"")</f>
        <v/>
      </c>
      <c r="I32" s="6">
        <f>IFERROR((G32-G23)/G23,"")</f>
        <v/>
      </c>
      <c r="J32" s="6">
        <f>IFERROR((G32-G19)/G19,"")</f>
        <v/>
      </c>
      <c r="K32" s="3" t="n">
        <v>7694</v>
      </c>
      <c r="L32" s="6">
        <f>IFERROR(K32/SUM($K$19:$K$53),"")</f>
        <v/>
      </c>
      <c r="M32" s="8" t="n">
        <v>14</v>
      </c>
    </row>
    <row r="33">
      <c r="A33" t="inlineStr">
        <is>
          <t>Denver Farma</t>
        </is>
      </c>
      <c r="B33" t="inlineStr">
        <is>
          <t>CARDIONORM</t>
        </is>
      </c>
      <c r="C33" t="inlineStr">
        <is>
          <t>6.25 mg</t>
        </is>
      </c>
      <c r="D33" t="inlineStr">
        <is>
          <t>6.25 mg comp.x 28</t>
        </is>
      </c>
      <c r="E33" s="2" t="n">
        <v>12325.65</v>
      </c>
      <c r="F33" s="2" t="n">
        <v>12475.91</v>
      </c>
      <c r="G33" s="2">
        <f>IFERROR(F33/28,"")</f>
        <v/>
      </c>
      <c r="H33" s="6">
        <f>IFERROR((F33-E33)/E33,"")</f>
        <v/>
      </c>
      <c r="I33" s="6">
        <f>IFERROR((G33-G23)/G23,"")</f>
        <v/>
      </c>
      <c r="J33" s="6">
        <f>IFERROR((G33-G19)/G19,"")</f>
        <v/>
      </c>
      <c r="K33" s="3" t="n">
        <v>5202</v>
      </c>
      <c r="L33" s="6">
        <f>IFERROR(K33/SUM($K$19:$K$53),"")</f>
        <v/>
      </c>
      <c r="M33" s="8" t="n">
        <v>15</v>
      </c>
    </row>
    <row r="34">
      <c r="A34" t="inlineStr">
        <is>
          <t>Rospaw</t>
        </is>
      </c>
      <c r="B34" t="inlineStr">
        <is>
          <t>CARVIPAW</t>
        </is>
      </c>
      <c r="C34" t="inlineStr">
        <is>
          <t>6.25 mg</t>
        </is>
      </c>
      <c r="D34" t="inlineStr">
        <is>
          <t>6.25 mg comp.x 30</t>
        </is>
      </c>
      <c r="E34" s="2" t="n">
        <v>11997.89</v>
      </c>
      <c r="F34" s="2" t="n">
        <v>12417.82</v>
      </c>
      <c r="G34" s="2">
        <f>IFERROR(F34/30,"")</f>
        <v/>
      </c>
      <c r="H34" s="6">
        <f>IFERROR((F34-E34)/E34,"")</f>
        <v/>
      </c>
      <c r="I34" s="6">
        <f>IFERROR((G34-G23)/G23,"")</f>
        <v/>
      </c>
      <c r="J34" s="6">
        <f>IFERROR((G34-G19)/G19,"")</f>
        <v/>
      </c>
      <c r="K34" s="3" t="n">
        <v>3458</v>
      </c>
      <c r="L34" s="6">
        <f>IFERROR(K34/SUM($K$19:$K$53),"")</f>
        <v/>
      </c>
      <c r="M34" s="8" t="n">
        <v>16</v>
      </c>
    </row>
    <row r="35">
      <c r="A35" t="inlineStr">
        <is>
          <t>Richmond</t>
        </is>
      </c>
      <c r="B35" t="inlineStr">
        <is>
          <t>VICARDOL</t>
        </is>
      </c>
      <c r="C35" t="inlineStr">
        <is>
          <t>6.25 mg</t>
        </is>
      </c>
      <c r="D35" t="inlineStr">
        <is>
          <t>6.25 mg comp.x 28</t>
        </is>
      </c>
      <c r="E35" s="2" t="n">
        <v>13977.22</v>
      </c>
      <c r="F35" s="2" t="n">
        <v>14466.42</v>
      </c>
      <c r="G35" s="2">
        <f>IFERROR(F35/28,"")</f>
        <v/>
      </c>
      <c r="H35" s="6">
        <f>IFERROR((F35-E35)/E35,"")</f>
        <v/>
      </c>
      <c r="I35" s="6">
        <f>IFERROR((G35-G23)/G23,"")</f>
        <v/>
      </c>
      <c r="J35" s="6">
        <f>IFERROR((G35-G19)/G19,"")</f>
        <v/>
      </c>
      <c r="K35" s="3" t="n">
        <v>3183</v>
      </c>
      <c r="L35" s="6">
        <f>IFERROR(K35/SUM($K$19:$K$53),"")</f>
        <v/>
      </c>
      <c r="M35" s="8" t="n">
        <v>17</v>
      </c>
    </row>
    <row r="36">
      <c r="A36" t="inlineStr">
        <is>
          <t>Richet</t>
        </is>
      </c>
      <c r="B36" t="inlineStr">
        <is>
          <t>CARVEDILOL RICHET</t>
        </is>
      </c>
      <c r="C36" t="inlineStr">
        <is>
          <t>6.25 mg</t>
        </is>
      </c>
      <c r="D36" t="inlineStr">
        <is>
          <t>6.25 mg comp.x 30</t>
        </is>
      </c>
      <c r="E36" s="2" t="n">
        <v>11677.78</v>
      </c>
      <c r="F36" s="2" t="n">
        <v>11911.34</v>
      </c>
      <c r="G36" s="2">
        <f>IFERROR(F36/30,"")</f>
        <v/>
      </c>
      <c r="H36" s="6">
        <f>IFERROR((F36-E36)/E36,"")</f>
        <v/>
      </c>
      <c r="I36" s="6">
        <f>IFERROR((G36-G23)/G23,"")</f>
        <v/>
      </c>
      <c r="J36" s="6">
        <f>IFERROR((G36-G19)/G19,"")</f>
        <v/>
      </c>
      <c r="K36" s="3" t="n">
        <v>3132</v>
      </c>
      <c r="L36" s="6">
        <f>IFERROR(K36/SUM($K$19:$K$53),"")</f>
        <v/>
      </c>
      <c r="M36" s="8" t="n">
        <v>18</v>
      </c>
    </row>
    <row r="37">
      <c r="A37" t="inlineStr">
        <is>
          <t>Richet</t>
        </is>
      </c>
      <c r="B37" t="inlineStr">
        <is>
          <t>CARVEDILOL RICHET</t>
        </is>
      </c>
      <c r="C37" t="inlineStr">
        <is>
          <t>6.25 mg</t>
        </is>
      </c>
      <c r="D37" t="inlineStr">
        <is>
          <t>6.25 mg comp.x 56</t>
        </is>
      </c>
      <c r="E37" s="2" t="n">
        <v>20353.45</v>
      </c>
      <c r="F37" s="2" t="n">
        <v>20760.52</v>
      </c>
      <c r="G37" s="2">
        <f>IFERROR(F37/56,"")</f>
        <v/>
      </c>
      <c r="H37" s="6">
        <f>IFERROR((F37-E37)/E37,"")</f>
        <v/>
      </c>
      <c r="I37" s="6">
        <f>IFERROR((G37-G23)/G23,"")</f>
        <v/>
      </c>
      <c r="J37" s="6">
        <f>IFERROR((G37-G19)/G19,"")</f>
        <v/>
      </c>
      <c r="K37" s="3" t="n">
        <v>3038</v>
      </c>
      <c r="L37" s="6">
        <f>IFERROR(K37/SUM($K$19:$K$53),"")</f>
        <v/>
      </c>
      <c r="M37" s="8" t="n">
        <v>19</v>
      </c>
    </row>
    <row r="38">
      <c r="A38" t="inlineStr">
        <is>
          <t>Lepetit</t>
        </is>
      </c>
      <c r="B38" t="inlineStr">
        <is>
          <t>VEDILEP 6.25</t>
        </is>
      </c>
      <c r="C38" t="inlineStr">
        <is>
          <t>6.25 mg</t>
        </is>
      </c>
      <c r="D38" t="inlineStr">
        <is>
          <t>6.25 mg comp.ran.x 28</t>
        </is>
      </c>
      <c r="E38" s="2" t="n">
        <v>14120</v>
      </c>
      <c r="F38" s="2" t="n">
        <v>14850</v>
      </c>
      <c r="G38" s="2">
        <f>IFERROR(F38/28,"")</f>
        <v/>
      </c>
      <c r="H38" s="6">
        <f>IFERROR((F38-E38)/E38,"")</f>
        <v/>
      </c>
      <c r="I38" s="6">
        <f>IFERROR((G38-G23)/G23,"")</f>
        <v/>
      </c>
      <c r="J38" s="6">
        <f>IFERROR((G38-G19)/G19,"")</f>
        <v/>
      </c>
      <c r="K38" s="3" t="n">
        <v>3022</v>
      </c>
      <c r="L38" s="6">
        <f>IFERROR(K38/SUM($K$19:$K$53),"")</f>
        <v/>
      </c>
      <c r="M38" s="8" t="n">
        <v>20</v>
      </c>
    </row>
    <row r="39">
      <c r="A39" t="inlineStr">
        <is>
          <t>Lazar</t>
        </is>
      </c>
      <c r="B39" t="inlineStr">
        <is>
          <t>CORUBIN</t>
        </is>
      </c>
      <c r="C39" t="inlineStr">
        <is>
          <t>6.25 mg</t>
        </is>
      </c>
      <c r="D39" t="inlineStr">
        <is>
          <t>6.25 mg comp.x 28</t>
        </is>
      </c>
      <c r="E39" s="2" t="n">
        <v>12453.58</v>
      </c>
      <c r="F39" s="2" t="n">
        <v>13250.42</v>
      </c>
      <c r="G39" s="2">
        <f>IFERROR(F39/28,"")</f>
        <v/>
      </c>
      <c r="H39" s="6">
        <f>IFERROR((F39-E39)/E39,"")</f>
        <v/>
      </c>
      <c r="I39" s="6">
        <f>IFERROR((G39-G23)/G23,"")</f>
        <v/>
      </c>
      <c r="J39" s="6">
        <f>IFERROR((G39-G19)/G19,"")</f>
        <v/>
      </c>
      <c r="K39" s="3" t="n">
        <v>2496</v>
      </c>
      <c r="L39" s="6">
        <f>IFERROR(K39/SUM($K$19:$K$53),"")</f>
        <v/>
      </c>
      <c r="M39" s="8" t="n">
        <v>21</v>
      </c>
    </row>
    <row r="40">
      <c r="A40" t="inlineStr">
        <is>
          <t>Géminis Farmacéutica</t>
        </is>
      </c>
      <c r="B40" t="inlineStr">
        <is>
          <t>CARVICORD</t>
        </is>
      </c>
      <c r="C40" t="inlineStr">
        <is>
          <t>6.25 mg</t>
        </is>
      </c>
      <c r="D40" t="inlineStr">
        <is>
          <t>6.25 mg comp.ran.x 30</t>
        </is>
      </c>
      <c r="E40" s="2" t="n">
        <v>12204.92</v>
      </c>
      <c r="F40" s="2" t="n">
        <v>12558.86</v>
      </c>
      <c r="G40" s="2">
        <f>IFERROR(F40/30,"")</f>
        <v/>
      </c>
      <c r="H40" s="6">
        <f>IFERROR((F40-E40)/E40,"")</f>
        <v/>
      </c>
      <c r="I40" s="6">
        <f>IFERROR((G40-G23)/G23,"")</f>
        <v/>
      </c>
      <c r="J40" s="6">
        <f>IFERROR((G40-G19)/G19,"")</f>
        <v/>
      </c>
      <c r="K40" s="3" t="n">
        <v>2243</v>
      </c>
      <c r="L40" s="6">
        <f>IFERROR(K40/SUM($K$19:$K$53),"")</f>
        <v/>
      </c>
      <c r="M40" s="8" t="n">
        <v>22</v>
      </c>
    </row>
    <row r="41">
      <c r="A41" t="inlineStr">
        <is>
          <t>Craveri</t>
        </is>
      </c>
      <c r="B41" t="inlineStr">
        <is>
          <t>ANTIBLOC 6.25</t>
        </is>
      </c>
      <c r="C41" t="inlineStr">
        <is>
          <t>6.25 mg</t>
        </is>
      </c>
      <c r="D41" t="inlineStr">
        <is>
          <t>6.25 mg comp.x 30</t>
        </is>
      </c>
      <c r="E41" s="2" t="n">
        <v>14549.78</v>
      </c>
      <c r="F41" s="2" t="n">
        <v>15661.38</v>
      </c>
      <c r="G41" s="2">
        <f>IFERROR(F41/30,"")</f>
        <v/>
      </c>
      <c r="H41" s="6">
        <f>IFERROR((F41-E41)/E41,"")</f>
        <v/>
      </c>
      <c r="I41" s="6">
        <f>IFERROR((G41-G23)/G23,"")</f>
        <v/>
      </c>
      <c r="J41" s="6">
        <f>IFERROR((G41-G19)/G19,"")</f>
        <v/>
      </c>
      <c r="K41" s="3" t="n">
        <v>482</v>
      </c>
      <c r="L41" s="6">
        <f>IFERROR(K41/SUM($K$19:$K$53),"")</f>
        <v/>
      </c>
      <c r="M41" s="8" t="n">
        <v>23</v>
      </c>
    </row>
    <row r="42">
      <c r="A42" t="inlineStr">
        <is>
          <t>Microsules Arg.</t>
        </is>
      </c>
      <c r="B42" t="inlineStr">
        <is>
          <t>ENTARSOL 6.25</t>
        </is>
      </c>
      <c r="C42" t="inlineStr">
        <is>
          <t>6.25 mg</t>
        </is>
      </c>
      <c r="D42" t="inlineStr">
        <is>
          <t>6.25 mg comp.x 28</t>
        </is>
      </c>
      <c r="E42" s="2" t="n">
        <v>12516.07</v>
      </c>
      <c r="F42" s="2" t="n">
        <v>12516.07</v>
      </c>
      <c r="G42" s="2">
        <f>IFERROR(F42/28,"")</f>
        <v/>
      </c>
      <c r="H42" s="6">
        <f>IFERROR((F42-E42)/E42,"")</f>
        <v/>
      </c>
      <c r="I42" s="6">
        <f>IFERROR((G42-G23)/G23,"")</f>
        <v/>
      </c>
      <c r="J42" s="6">
        <f>IFERROR((G42-G19)/G19,"")</f>
        <v/>
      </c>
      <c r="K42" s="3" t="n">
        <v>420</v>
      </c>
      <c r="L42" s="6">
        <f>IFERROR(K42/SUM($K$19:$K$53),"")</f>
        <v/>
      </c>
      <c r="M42" s="8" t="n">
        <v>24</v>
      </c>
    </row>
    <row r="43">
      <c r="A43" t="inlineStr">
        <is>
          <t>Biotenk</t>
        </is>
      </c>
      <c r="B43" t="inlineStr">
        <is>
          <t>CARVEDILOL BIOTENK</t>
        </is>
      </c>
      <c r="C43" t="inlineStr">
        <is>
          <t>6.25 mg</t>
        </is>
      </c>
      <c r="D43" t="inlineStr">
        <is>
          <t>6.25 mg comp.x 28</t>
        </is>
      </c>
      <c r="E43" s="2" t="n">
        <v>13321.17</v>
      </c>
      <c r="F43" s="2" t="n">
        <v>14269.64</v>
      </c>
      <c r="G43" s="2">
        <f>IFERROR(F43/28,"")</f>
        <v/>
      </c>
      <c r="H43" s="6">
        <f>IFERROR((F43-E43)/E43,"")</f>
        <v/>
      </c>
      <c r="I43" s="6">
        <f>IFERROR((G43-G23)/G23,"")</f>
        <v/>
      </c>
      <c r="J43" s="6">
        <f>IFERROR((G43-G19)/G19,"")</f>
        <v/>
      </c>
      <c r="K43" s="3" t="n">
        <v>339</v>
      </c>
      <c r="L43" s="6">
        <f>IFERROR(K43/SUM($K$19:$K$53),"")</f>
        <v/>
      </c>
      <c r="M43" s="8" t="n">
        <v>25</v>
      </c>
    </row>
    <row r="44">
      <c r="A44" t="inlineStr">
        <is>
          <t>Microsules Arg.</t>
        </is>
      </c>
      <c r="B44" t="inlineStr">
        <is>
          <t>ENTARSOL 6.25</t>
        </is>
      </c>
      <c r="C44" t="inlineStr">
        <is>
          <t>6.25 mg</t>
        </is>
      </c>
      <c r="D44" t="inlineStr">
        <is>
          <t>6.25 mg comp.rec.x 30</t>
        </is>
      </c>
      <c r="E44" s="2" t="n">
        <v>14235.55</v>
      </c>
      <c r="F44" s="2" t="n">
        <v>14605.67</v>
      </c>
      <c r="G44" s="2">
        <f>IFERROR(F44/30,"")</f>
        <v/>
      </c>
      <c r="H44" s="6">
        <f>IFERROR((F44-E44)/E44,"")</f>
        <v/>
      </c>
      <c r="I44" s="6">
        <f>IFERROR((G44-G23)/G23,"")</f>
        <v/>
      </c>
      <c r="J44" s="6">
        <f>IFERROR((G44-G19)/G19,"")</f>
        <v/>
      </c>
      <c r="K44" s="3" t="n">
        <v>298</v>
      </c>
      <c r="L44" s="6">
        <f>IFERROR(K44/SUM($K$19:$K$53),"")</f>
        <v/>
      </c>
      <c r="M44" s="8" t="n">
        <v>26</v>
      </c>
    </row>
    <row r="45">
      <c r="A45" t="inlineStr">
        <is>
          <t>Vannier</t>
        </is>
      </c>
      <c r="B45" t="inlineStr">
        <is>
          <t>CARVEDILOL VANNIER 6.25</t>
        </is>
      </c>
      <c r="C45" t="inlineStr">
        <is>
          <t>6.25 mg</t>
        </is>
      </c>
      <c r="D45" t="inlineStr">
        <is>
          <t>6.25 mg comp.x 30</t>
        </is>
      </c>
      <c r="E45" s="2" t="n">
        <v>11198.52</v>
      </c>
      <c r="F45" s="2" t="n">
        <v>11788.52</v>
      </c>
      <c r="G45" s="2">
        <f>IFERROR(F45/30,"")</f>
        <v/>
      </c>
      <c r="H45" s="6">
        <f>IFERROR((F45-E45)/E45,"")</f>
        <v/>
      </c>
      <c r="I45" s="6">
        <f>IFERROR((G45-G23)/G23,"")</f>
        <v/>
      </c>
      <c r="J45" s="6">
        <f>IFERROR((G45-G19)/G19,"")</f>
        <v/>
      </c>
      <c r="K45" s="3" t="n">
        <v>165</v>
      </c>
      <c r="L45" s="6">
        <f>IFERROR(K45/SUM($K$19:$K$53),"")</f>
        <v/>
      </c>
      <c r="M45" s="8" t="n">
        <v>27</v>
      </c>
    </row>
    <row r="46">
      <c r="A46" t="inlineStr">
        <is>
          <t>Géminis Farmacéutica</t>
        </is>
      </c>
      <c r="B46" t="inlineStr">
        <is>
          <t>CARVICORD</t>
        </is>
      </c>
      <c r="C46" t="inlineStr">
        <is>
          <t>6.25 mg</t>
        </is>
      </c>
      <c r="D46" t="inlineStr">
        <is>
          <t>6.25 mg comp.x 60</t>
        </is>
      </c>
      <c r="E46" s="2" t="n">
        <v>21085.72</v>
      </c>
      <c r="F46" s="2" t="n">
        <v>21697.21</v>
      </c>
      <c r="G46" s="2">
        <f>IFERROR(F46/60,"")</f>
        <v/>
      </c>
      <c r="H46" s="6">
        <f>IFERROR((F46-E46)/E46,"")</f>
        <v/>
      </c>
      <c r="I46" s="6">
        <f>IFERROR((G46-G23)/G23,"")</f>
        <v/>
      </c>
      <c r="J46" s="6">
        <f>IFERROR((G46-G19)/G19,"")</f>
        <v/>
      </c>
      <c r="K46" s="3" t="n">
        <v>77</v>
      </c>
      <c r="L46" s="6">
        <f>IFERROR(K46/SUM($K$19:$K$53),"")</f>
        <v/>
      </c>
      <c r="M46" s="8" t="n">
        <v>28</v>
      </c>
    </row>
    <row r="47">
      <c r="A47" t="inlineStr">
        <is>
          <t>Vannier</t>
        </is>
      </c>
      <c r="B47" t="inlineStr">
        <is>
          <t>CARVEDILOL VANNIER 6.25</t>
        </is>
      </c>
      <c r="C47" t="inlineStr">
        <is>
          <t>6.25 mg</t>
        </is>
      </c>
      <c r="D47" t="inlineStr">
        <is>
          <t>6.25 mg comp.x 60</t>
        </is>
      </c>
      <c r="E47" s="2" t="n">
        <v>14965.62</v>
      </c>
      <c r="F47" s="2" t="n">
        <v>14965.62</v>
      </c>
      <c r="G47" s="2">
        <f>IFERROR(F47/60,"")</f>
        <v/>
      </c>
      <c r="H47" s="6">
        <f>IFERROR((F47-E47)/E47,"")</f>
        <v/>
      </c>
      <c r="I47" s="6">
        <f>IFERROR((G47-G23)/G23,"")</f>
        <v/>
      </c>
      <c r="J47" s="6">
        <f>IFERROR((G47-G19)/G19,"")</f>
        <v/>
      </c>
      <c r="K47" s="3" t="n">
        <v>21</v>
      </c>
      <c r="L47" s="6">
        <f>IFERROR(K47/SUM($K$19:$K$53),"")</f>
        <v/>
      </c>
      <c r="M47" s="8" t="n">
        <v>29</v>
      </c>
    </row>
    <row r="48">
      <c r="A48" t="inlineStr">
        <is>
          <t>Richet</t>
        </is>
      </c>
      <c r="B48" t="inlineStr">
        <is>
          <t>CARVEDILOL RICHET</t>
        </is>
      </c>
      <c r="C48" t="inlineStr">
        <is>
          <t>6.25 mg</t>
        </is>
      </c>
      <c r="D48" t="inlineStr">
        <is>
          <t>6.25 mg comp.x 60</t>
        </is>
      </c>
      <c r="E48" s="2" t="n">
        <v>20740.19</v>
      </c>
      <c r="F48" s="2" t="n">
        <v>21154.99</v>
      </c>
      <c r="G48" s="2">
        <f>IFERROR(F48/60,"")</f>
        <v/>
      </c>
      <c r="H48" s="6">
        <f>IFERROR((F48-E48)/E48,"")</f>
        <v/>
      </c>
      <c r="I48" s="6">
        <f>IFERROR((G48-G23)/G23,"")</f>
        <v/>
      </c>
      <c r="J48" s="6">
        <f>IFERROR((G48-G19)/G19,"")</f>
        <v/>
      </c>
      <c r="K48" s="3" t="n">
        <v>19</v>
      </c>
      <c r="L48" s="6">
        <f>IFERROR(K48/SUM($K$19:$K$53),"")</f>
        <v/>
      </c>
      <c r="M48" s="8" t="n">
        <v>30</v>
      </c>
    </row>
    <row r="49">
      <c r="A49" t="inlineStr">
        <is>
          <t>Klonal</t>
        </is>
      </c>
      <c r="B49" t="inlineStr">
        <is>
          <t>HIPOTEN KLONAL</t>
        </is>
      </c>
      <c r="C49" t="inlineStr">
        <is>
          <t>6.25 mg</t>
        </is>
      </c>
      <c r="D49" t="inlineStr">
        <is>
          <t>6.25 mg comp.ran.x 30</t>
        </is>
      </c>
      <c r="E49" s="2" t="n">
        <v>11092.66</v>
      </c>
      <c r="F49" s="2" t="n">
        <v>12756.56</v>
      </c>
      <c r="G49" s="2">
        <f>IFERROR(F49/30,"")</f>
        <v/>
      </c>
      <c r="H49" s="6">
        <f>IFERROR((F49-E49)/E49,"")</f>
        <v/>
      </c>
      <c r="I49" s="6">
        <f>IFERROR((G49-G23)/G23,"")</f>
        <v/>
      </c>
      <c r="J49" s="6">
        <f>IFERROR((G49-G19)/G19,"")</f>
        <v/>
      </c>
      <c r="K49" s="3" t="n"/>
      <c r="L49" s="6">
        <f>IFERROR(K49/SUM($K$19:$K$53),"")</f>
        <v/>
      </c>
      <c r="M49" s="8" t="n">
        <v>31</v>
      </c>
    </row>
    <row r="50">
      <c r="A50" t="inlineStr">
        <is>
          <t>Laboratorios Bernabó</t>
        </is>
      </c>
      <c r="B50" t="inlineStr">
        <is>
          <t>CORAFEN</t>
        </is>
      </c>
      <c r="C50" t="inlineStr">
        <is>
          <t>6.25 mg</t>
        </is>
      </c>
      <c r="D50" t="inlineStr">
        <is>
          <t>6.25 mg comp.ran.x 28</t>
        </is>
      </c>
      <c r="E50" s="2" t="n">
        <v>11718.81</v>
      </c>
      <c r="F50" s="2" t="n">
        <v>11718.81</v>
      </c>
      <c r="G50" s="2">
        <f>IFERROR(F50/28,"")</f>
        <v/>
      </c>
      <c r="H50" s="6">
        <f>IFERROR((F50-E50)/E50,"")</f>
        <v/>
      </c>
      <c r="I50" s="6">
        <f>IFERROR((G50-G23)/G23,"")</f>
        <v/>
      </c>
      <c r="J50" s="6">
        <f>IFERROR((G50-G19)/G19,"")</f>
        <v/>
      </c>
      <c r="K50" s="3" t="n"/>
      <c r="L50" s="6">
        <f>IFERROR(K50/SUM($K$19:$K$53),"")</f>
        <v/>
      </c>
      <c r="M50" s="8" t="n">
        <v>32</v>
      </c>
    </row>
    <row r="51">
      <c r="A51" t="inlineStr">
        <is>
          <t>Lafedar</t>
        </is>
      </c>
      <c r="B51" t="inlineStr">
        <is>
          <t>KOLLOSTERIL</t>
        </is>
      </c>
      <c r="C51" t="inlineStr">
        <is>
          <t>6.25 mg</t>
        </is>
      </c>
      <c r="D51" t="inlineStr">
        <is>
          <t>6.25 mg comp.x 28</t>
        </is>
      </c>
      <c r="E51" s="2" t="n">
        <v>10882.77</v>
      </c>
      <c r="F51" s="2" t="n">
        <v>11579.11</v>
      </c>
      <c r="G51" s="2">
        <f>IFERROR(F51/28,"")</f>
        <v/>
      </c>
      <c r="H51" s="6">
        <f>IFERROR((F51-E51)/E51,"")</f>
        <v/>
      </c>
      <c r="I51" s="6">
        <f>IFERROR((G51-G23)/G23,"")</f>
        <v/>
      </c>
      <c r="J51" s="6">
        <f>IFERROR((G51-G19)/G19,"")</f>
        <v/>
      </c>
      <c r="K51" s="3" t="n"/>
      <c r="L51" s="6">
        <f>IFERROR(K51/SUM($K$19:$K$53),"")</f>
        <v/>
      </c>
      <c r="M51" s="8" t="n">
        <v>33</v>
      </c>
    </row>
    <row r="52">
      <c r="A52" t="inlineStr">
        <is>
          <t>Savant Generic</t>
        </is>
      </c>
      <c r="B52" t="inlineStr">
        <is>
          <t>CARTIATO</t>
        </is>
      </c>
      <c r="C52" t="inlineStr">
        <is>
          <t>6.25 mg</t>
        </is>
      </c>
      <c r="D52" t="inlineStr">
        <is>
          <t>6.25 mg comp.x 30</t>
        </is>
      </c>
      <c r="E52" s="2" t="n">
        <v>5053.42</v>
      </c>
      <c r="F52" s="2" t="n">
        <v>5053.42</v>
      </c>
      <c r="G52" s="2">
        <f>IFERROR(F52/30,"")</f>
        <v/>
      </c>
      <c r="H52" s="6">
        <f>IFERROR((F52-E52)/E52,"")</f>
        <v/>
      </c>
      <c r="I52" s="6">
        <f>IFERROR((G52-G23)/G23,"")</f>
        <v/>
      </c>
      <c r="J52" s="6">
        <f>IFERROR((G52-G19)/G19,"")</f>
        <v/>
      </c>
      <c r="K52" s="3" t="n"/>
      <c r="L52" s="6">
        <f>IFERROR(K52/SUM($K$19:$K$53),"")</f>
        <v/>
      </c>
      <c r="M52" s="8" t="n">
        <v>34</v>
      </c>
    </row>
    <row r="53">
      <c r="A53" t="inlineStr">
        <is>
          <t>Sidus</t>
        </is>
      </c>
      <c r="B53" t="inlineStr">
        <is>
          <t>DUOBLOC</t>
        </is>
      </c>
      <c r="C53" t="inlineStr">
        <is>
          <t>6.25 mg</t>
        </is>
      </c>
      <c r="D53" t="inlineStr">
        <is>
          <t>6.25 mg comp.x 28</t>
        </is>
      </c>
      <c r="E53" s="2" t="n">
        <v>4259.58</v>
      </c>
      <c r="F53" s="2" t="n">
        <v>4259.58</v>
      </c>
      <c r="G53" s="2">
        <f>IFERROR(F53/28,"")</f>
        <v/>
      </c>
      <c r="H53" s="6">
        <f>IFERROR((F53-E53)/E53,"")</f>
        <v/>
      </c>
      <c r="I53" s="6">
        <f>IFERROR((G53-G23)/G23,"")</f>
        <v/>
      </c>
      <c r="J53" s="6">
        <f>IFERROR((G53-G19)/G19,"")</f>
        <v/>
      </c>
      <c r="K53" s="3" t="n"/>
      <c r="L53" s="6">
        <f>IFERROR(K53/SUM($K$19:$K$53),"")</f>
        <v/>
      </c>
      <c r="M53" s="8" t="n">
        <v>35</v>
      </c>
    </row>
    <row r="55" ht="20" customHeight="1">
      <c r="A55" s="5" t="inlineStr">
        <is>
          <t>Dosis: 10 mg — carvedilol</t>
        </is>
      </c>
    </row>
    <row r="56">
      <c r="A56" t="inlineStr">
        <is>
          <t>Gador</t>
        </is>
      </c>
      <c r="B56" t="inlineStr">
        <is>
          <t>FILTEN LP</t>
        </is>
      </c>
      <c r="C56" t="inlineStr">
        <is>
          <t>10 mg</t>
        </is>
      </c>
      <c r="D56" t="inlineStr">
        <is>
          <t>10 mg cáps.lib.prol.x 30</t>
        </is>
      </c>
      <c r="E56" s="2" t="n">
        <v>21594.26</v>
      </c>
      <c r="F56" s="2" t="n">
        <v>22134.12</v>
      </c>
      <c r="G56" s="2">
        <f>IFERROR(F56/30,"")</f>
        <v/>
      </c>
      <c r="H56" s="6">
        <f>IFERROR((F56-E56)/E56,"")</f>
        <v/>
      </c>
      <c r="I56" s="6">
        <f>IFERROR((G56-G58)/G58,"")</f>
        <v/>
      </c>
      <c r="J56" s="7" t="inlineStr">
        <is>
          <t>Líder</t>
        </is>
      </c>
      <c r="K56" s="3" t="n">
        <v>40750</v>
      </c>
      <c r="L56" s="6">
        <f>IFERROR(K56/SUM($K$56:$K$60),"")</f>
        <v/>
      </c>
      <c r="M56" s="8" t="n">
        <v>1</v>
      </c>
    </row>
    <row r="57">
      <c r="A57" t="inlineStr">
        <is>
          <t>Baliarda</t>
        </is>
      </c>
      <c r="B57" t="inlineStr">
        <is>
          <t>BIDECAR CR</t>
        </is>
      </c>
      <c r="C57" t="inlineStr">
        <is>
          <t>10 mg</t>
        </is>
      </c>
      <c r="D57" t="inlineStr">
        <is>
          <t>10 mg cáps.lib.cont.x 28</t>
        </is>
      </c>
      <c r="E57" s="2" t="n">
        <v>20920.27</v>
      </c>
      <c r="F57" s="2" t="n">
        <v>21526.96</v>
      </c>
      <c r="G57" s="2">
        <f>IFERROR(F57/28,"")</f>
        <v/>
      </c>
      <c r="H57" s="6">
        <f>IFERROR((F57-E57)/E57,"")</f>
        <v/>
      </c>
      <c r="I57" s="6">
        <f>IFERROR((G57-G58)/G58,"")</f>
        <v/>
      </c>
      <c r="J57" s="6">
        <f>IFERROR((G57-G56)/G56,"")</f>
        <v/>
      </c>
      <c r="K57" s="3" t="n">
        <v>9133</v>
      </c>
      <c r="L57" s="6">
        <f>IFERROR(K57/SUM($K$56:$K$60),"")</f>
        <v/>
      </c>
      <c r="M57" s="8" t="n">
        <v>2</v>
      </c>
    </row>
    <row r="58">
      <c r="A58" s="9" t="inlineStr">
        <is>
          <t>Siegfried ★ SIE</t>
        </is>
      </c>
      <c r="B58" s="9" t="inlineStr">
        <is>
          <t>DILATREND AP</t>
        </is>
      </c>
      <c r="C58" s="9" t="inlineStr">
        <is>
          <t>10 mg</t>
        </is>
      </c>
      <c r="D58" s="9" t="inlineStr">
        <is>
          <t>10 mg cáps.x 30</t>
        </is>
      </c>
      <c r="E58" s="10" t="n">
        <v>20121.97</v>
      </c>
      <c r="F58" s="10" t="n">
        <v>20665.26</v>
      </c>
      <c r="G58" s="10">
        <f>IFERROR(F58/30,"")</f>
        <v/>
      </c>
      <c r="H58" s="11" t="n"/>
      <c r="I58" s="11" t="n"/>
      <c r="J58" s="11">
        <f>IFERROR((G58-G56)/G56,"")</f>
        <v/>
      </c>
      <c r="K58" s="12" t="n">
        <v>7805</v>
      </c>
      <c r="L58" s="11">
        <f>IFERROR(K58/SUM($K$56:$K$60),"")</f>
        <v/>
      </c>
      <c r="M58" s="13" t="n">
        <v>3</v>
      </c>
    </row>
    <row r="59">
      <c r="A59" t="inlineStr">
        <is>
          <t>Bagó</t>
        </is>
      </c>
      <c r="B59" t="inlineStr">
        <is>
          <t>CARVEDIL RETARD 10</t>
        </is>
      </c>
      <c r="C59" t="inlineStr">
        <is>
          <t>10 mg</t>
        </is>
      </c>
      <c r="D59" t="inlineStr">
        <is>
          <t>10 mg cáps.lib.prol.x 28</t>
        </is>
      </c>
      <c r="E59" s="2" t="n">
        <v>19945.11</v>
      </c>
      <c r="F59" s="2" t="n">
        <v>19945.11</v>
      </c>
      <c r="G59" s="2">
        <f>IFERROR(F59/28,"")</f>
        <v/>
      </c>
      <c r="H59" s="6">
        <f>IFERROR((F59-E59)/E59,"")</f>
        <v/>
      </c>
      <c r="I59" s="6">
        <f>IFERROR((G59-G58)/G58,"")</f>
        <v/>
      </c>
      <c r="J59" s="6">
        <f>IFERROR((G59-G56)/G56,"")</f>
        <v/>
      </c>
      <c r="K59" s="3" t="n">
        <v>74</v>
      </c>
      <c r="L59" s="6">
        <f>IFERROR(K59/SUM($K$56:$K$60),"")</f>
        <v/>
      </c>
      <c r="M59" s="8" t="n">
        <v>4</v>
      </c>
    </row>
    <row r="60">
      <c r="A60" t="inlineStr">
        <is>
          <t>Bagó</t>
        </is>
      </c>
      <c r="B60" t="inlineStr">
        <is>
          <t>CARVEDIL RETARD 10</t>
        </is>
      </c>
      <c r="C60" t="inlineStr">
        <is>
          <t>10 mg</t>
        </is>
      </c>
      <c r="D60" t="inlineStr">
        <is>
          <t>10 mg cáps.lib.prol.x 30</t>
        </is>
      </c>
      <c r="E60" s="2" t="n">
        <v>20574.95</v>
      </c>
      <c r="F60" s="2" t="n">
        <v>20574.95</v>
      </c>
      <c r="G60" s="2">
        <f>IFERROR(F60/30,"")</f>
        <v/>
      </c>
      <c r="H60" s="6">
        <f>IFERROR((F60-E60)/E60,"")</f>
        <v/>
      </c>
      <c r="I60" s="6">
        <f>IFERROR((G60-G58)/G58,"")</f>
        <v/>
      </c>
      <c r="J60" s="6">
        <f>IFERROR((G60-G56)/G56,"")</f>
        <v/>
      </c>
      <c r="K60" s="3" t="n">
        <v>39</v>
      </c>
      <c r="L60" s="6">
        <f>IFERROR(K60/SUM($K$56:$K$60),"")</f>
        <v/>
      </c>
      <c r="M60" s="8" t="n">
        <v>5</v>
      </c>
    </row>
    <row r="62" ht="20" customHeight="1">
      <c r="A62" s="5" t="inlineStr">
        <is>
          <t>Dosis: 12.5 mg — carvedilol</t>
        </is>
      </c>
    </row>
    <row r="63">
      <c r="A63" t="inlineStr">
        <is>
          <t>Gador</t>
        </is>
      </c>
      <c r="B63" t="inlineStr">
        <is>
          <t>FILTEN</t>
        </is>
      </c>
      <c r="C63" t="inlineStr">
        <is>
          <t>12.5 mg</t>
        </is>
      </c>
      <c r="D63" t="inlineStr">
        <is>
          <t>12.5 mg comp.ran.x 30</t>
        </is>
      </c>
      <c r="E63" s="2" t="n">
        <v>18314.61</v>
      </c>
      <c r="F63" s="2" t="n">
        <v>18772.48</v>
      </c>
      <c r="G63" s="2">
        <f>IFERROR(F63/30,"")</f>
        <v/>
      </c>
      <c r="H63" s="6">
        <f>IFERROR((F63-E63)/E63,"")</f>
        <v/>
      </c>
      <c r="I63" s="6">
        <f>IFERROR((G63-G67)/G67,"")</f>
        <v/>
      </c>
      <c r="J63" s="7" t="inlineStr">
        <is>
          <t>Líder</t>
        </is>
      </c>
      <c r="K63" s="3" t="n">
        <v>228035</v>
      </c>
      <c r="L63" s="6">
        <f>IFERROR(K63/SUM($K$63:$K$98),"")</f>
        <v/>
      </c>
      <c r="M63" s="8" t="n">
        <v>1</v>
      </c>
    </row>
    <row r="64">
      <c r="A64" t="inlineStr">
        <is>
          <t>Bagó</t>
        </is>
      </c>
      <c r="B64" t="inlineStr">
        <is>
          <t>CARVEDIL 12.5</t>
        </is>
      </c>
      <c r="C64" t="inlineStr">
        <is>
          <t>12.5 mg</t>
        </is>
      </c>
      <c r="D64" t="inlineStr">
        <is>
          <t>12.5 mg comp.x 30</t>
        </is>
      </c>
      <c r="E64" s="2" t="n">
        <v>19627.23</v>
      </c>
      <c r="F64" s="2" t="n">
        <v>20129.68</v>
      </c>
      <c r="G64" s="2">
        <f>IFERROR(F64/30,"")</f>
        <v/>
      </c>
      <c r="H64" s="6">
        <f>IFERROR((F64-E64)/E64,"")</f>
        <v/>
      </c>
      <c r="I64" s="6">
        <f>IFERROR((G64-G67)/G67,"")</f>
        <v/>
      </c>
      <c r="J64" s="6">
        <f>IFERROR((G64-G63)/G63,"")</f>
        <v/>
      </c>
      <c r="K64" s="3" t="n">
        <v>184062</v>
      </c>
      <c r="L64" s="6">
        <f>IFERROR(K64/SUM($K$63:$K$98),"")</f>
        <v/>
      </c>
      <c r="M64" s="8" t="n">
        <v>2</v>
      </c>
    </row>
    <row r="65">
      <c r="A65" t="inlineStr">
        <is>
          <t>Gador</t>
        </is>
      </c>
      <c r="B65" t="inlineStr">
        <is>
          <t>FILTEN</t>
        </is>
      </c>
      <c r="C65" t="inlineStr">
        <is>
          <t>12.5 mg</t>
        </is>
      </c>
      <c r="D65" t="inlineStr">
        <is>
          <t>12.5 mg comp.ran.x 60</t>
        </is>
      </c>
      <c r="E65" s="2" t="n">
        <v>29477.37</v>
      </c>
      <c r="F65" s="2" t="n">
        <v>30214.31</v>
      </c>
      <c r="G65" s="2">
        <f>IFERROR(F65/60,"")</f>
        <v/>
      </c>
      <c r="H65" s="6">
        <f>IFERROR((F65-E65)/E65,"")</f>
        <v/>
      </c>
      <c r="I65" s="6">
        <f>IFERROR((G65-G67)/G67,"")</f>
        <v/>
      </c>
      <c r="J65" s="6">
        <f>IFERROR((G65-G63)/G63,"")</f>
        <v/>
      </c>
      <c r="K65" s="3" t="n">
        <v>176404</v>
      </c>
      <c r="L65" s="6">
        <f>IFERROR(K65/SUM($K$63:$K$98),"")</f>
        <v/>
      </c>
      <c r="M65" s="8" t="n">
        <v>3</v>
      </c>
    </row>
    <row r="66">
      <c r="A66" t="inlineStr">
        <is>
          <t>Bagó</t>
        </is>
      </c>
      <c r="B66" t="inlineStr">
        <is>
          <t>CARVEDIL 12.5</t>
        </is>
      </c>
      <c r="C66" t="inlineStr">
        <is>
          <t>12.5 mg</t>
        </is>
      </c>
      <c r="D66" t="inlineStr">
        <is>
          <t>12.5 mg comp.x 28</t>
        </is>
      </c>
      <c r="E66" s="2" t="n">
        <v>19662.92</v>
      </c>
      <c r="F66" s="2" t="n">
        <v>20166.29</v>
      </c>
      <c r="G66" s="2">
        <f>IFERROR(F66/28,"")</f>
        <v/>
      </c>
      <c r="H66" s="6">
        <f>IFERROR((F66-E66)/E66,"")</f>
        <v/>
      </c>
      <c r="I66" s="6">
        <f>IFERROR((G66-G67)/G67,"")</f>
        <v/>
      </c>
      <c r="J66" s="6">
        <f>IFERROR((G66-G63)/G63,"")</f>
        <v/>
      </c>
      <c r="K66" s="3" t="n">
        <v>131198</v>
      </c>
      <c r="L66" s="6">
        <f>IFERROR(K66/SUM($K$63:$K$98),"")</f>
        <v/>
      </c>
      <c r="M66" s="8" t="n">
        <v>4</v>
      </c>
    </row>
    <row r="67">
      <c r="A67" s="9" t="inlineStr">
        <is>
          <t>Siegfried ★ SIE</t>
        </is>
      </c>
      <c r="B67" s="9" t="inlineStr">
        <is>
          <t>DILATREND</t>
        </is>
      </c>
      <c r="C67" s="9" t="inlineStr">
        <is>
          <t>12.5 mg</t>
        </is>
      </c>
      <c r="D67" s="9" t="inlineStr">
        <is>
          <t>12.5 mg comp.ran.x 30</t>
        </is>
      </c>
      <c r="E67" s="10" t="n">
        <v>18845.2</v>
      </c>
      <c r="F67" s="10" t="n">
        <v>19354.02</v>
      </c>
      <c r="G67" s="10">
        <f>IFERROR(F67/30,"")</f>
        <v/>
      </c>
      <c r="H67" s="11" t="n"/>
      <c r="I67" s="11" t="n"/>
      <c r="J67" s="11">
        <f>IFERROR((G67-G63)/G63,"")</f>
        <v/>
      </c>
      <c r="K67" s="12" t="n">
        <v>129472</v>
      </c>
      <c r="L67" s="11">
        <f>IFERROR(K67/SUM($K$63:$K$98),"")</f>
        <v/>
      </c>
      <c r="M67" s="13" t="n">
        <v>5</v>
      </c>
    </row>
    <row r="68">
      <c r="A68" t="inlineStr">
        <is>
          <t>Casasco</t>
        </is>
      </c>
      <c r="B68" t="inlineStr">
        <is>
          <t>ISOBLOC</t>
        </is>
      </c>
      <c r="C68" t="inlineStr">
        <is>
          <t>12.5 mg</t>
        </is>
      </c>
      <c r="D68" t="inlineStr">
        <is>
          <t>12.5 mg comp.x 30</t>
        </is>
      </c>
      <c r="E68" s="2" t="n">
        <v>17745.54</v>
      </c>
      <c r="F68" s="2" t="n">
        <v>18260.15</v>
      </c>
      <c r="G68" s="2">
        <f>IFERROR(F68/30,"")</f>
        <v/>
      </c>
      <c r="H68" s="6">
        <f>IFERROR((F68-E68)/E68,"")</f>
        <v/>
      </c>
      <c r="I68" s="6">
        <f>IFERROR((G68-G67)/G67,"")</f>
        <v/>
      </c>
      <c r="J68" s="6">
        <f>IFERROR((G68-G63)/G63,"")</f>
        <v/>
      </c>
      <c r="K68" s="3" t="n">
        <v>122415</v>
      </c>
      <c r="L68" s="6">
        <f>IFERROR(K68/SUM($K$63:$K$98),"")</f>
        <v/>
      </c>
      <c r="M68" s="8" t="n">
        <v>6</v>
      </c>
    </row>
    <row r="69">
      <c r="A69" t="inlineStr">
        <is>
          <t>Bagó</t>
        </is>
      </c>
      <c r="B69" t="inlineStr">
        <is>
          <t>CARVEDIL 12.5</t>
        </is>
      </c>
      <c r="C69" t="inlineStr">
        <is>
          <t>12.5 mg</t>
        </is>
      </c>
      <c r="D69" t="inlineStr">
        <is>
          <t>12.5 mg comp.x 60</t>
        </is>
      </c>
      <c r="E69" s="2" t="n">
        <v>31142.14</v>
      </c>
      <c r="F69" s="2" t="n">
        <v>31939.37</v>
      </c>
      <c r="G69" s="2">
        <f>IFERROR(F69/60,"")</f>
        <v/>
      </c>
      <c r="H69" s="6">
        <f>IFERROR((F69-E69)/E69,"")</f>
        <v/>
      </c>
      <c r="I69" s="6">
        <f>IFERROR((G69-G67)/G67,"")</f>
        <v/>
      </c>
      <c r="J69" s="6">
        <f>IFERROR((G69-G63)/G63,"")</f>
        <v/>
      </c>
      <c r="K69" s="3" t="n">
        <v>85146</v>
      </c>
      <c r="L69" s="6">
        <f>IFERROR(K69/SUM($K$63:$K$98),"")</f>
        <v/>
      </c>
      <c r="M69" s="8" t="n">
        <v>7</v>
      </c>
    </row>
    <row r="70">
      <c r="A70" t="inlineStr">
        <is>
          <t>Bagó</t>
        </is>
      </c>
      <c r="B70" t="inlineStr">
        <is>
          <t>CARVEDIL 12.5</t>
        </is>
      </c>
      <c r="C70" t="inlineStr">
        <is>
          <t>12.5 mg</t>
        </is>
      </c>
      <c r="D70" t="inlineStr">
        <is>
          <t>12.5 mg comp.x 56</t>
        </is>
      </c>
      <c r="E70" s="2" t="n">
        <v>31004.3</v>
      </c>
      <c r="F70" s="2" t="n">
        <v>31798.01</v>
      </c>
      <c r="G70" s="2">
        <f>IFERROR(F70/56,"")</f>
        <v/>
      </c>
      <c r="H70" s="6">
        <f>IFERROR((F70-E70)/E70,"")</f>
        <v/>
      </c>
      <c r="I70" s="6">
        <f>IFERROR((G70-G67)/G67,"")</f>
        <v/>
      </c>
      <c r="J70" s="6">
        <f>IFERROR((G70-G63)/G63,"")</f>
        <v/>
      </c>
      <c r="K70" s="3" t="n">
        <v>69624</v>
      </c>
      <c r="L70" s="6">
        <f>IFERROR(K70/SUM($K$63:$K$98),"")</f>
        <v/>
      </c>
      <c r="M70" s="8" t="n">
        <v>8</v>
      </c>
    </row>
    <row r="71">
      <c r="A71" t="inlineStr">
        <is>
          <t>Casasco</t>
        </is>
      </c>
      <c r="B71" t="inlineStr">
        <is>
          <t>ISOBLOC</t>
        </is>
      </c>
      <c r="C71" t="inlineStr">
        <is>
          <t>12.5 mg</t>
        </is>
      </c>
      <c r="D71" t="inlineStr">
        <is>
          <t>12.5 mg comp.x 60</t>
        </is>
      </c>
      <c r="E71" s="2" t="n">
        <v>28106.65</v>
      </c>
      <c r="F71" s="2" t="n">
        <v>28921.74</v>
      </c>
      <c r="G71" s="2">
        <f>IFERROR(F71/60,"")</f>
        <v/>
      </c>
      <c r="H71" s="6">
        <f>IFERROR((F71-E71)/E71,"")</f>
        <v/>
      </c>
      <c r="I71" s="6">
        <f>IFERROR((G71-G67)/G67,"")</f>
        <v/>
      </c>
      <c r="J71" s="6">
        <f>IFERROR((G71-G63)/G63,"")</f>
        <v/>
      </c>
      <c r="K71" s="3" t="n">
        <v>65597</v>
      </c>
      <c r="L71" s="6">
        <f>IFERROR(K71/SUM($K$63:$K$98),"")</f>
        <v/>
      </c>
      <c r="M71" s="8" t="n">
        <v>9</v>
      </c>
    </row>
    <row r="72">
      <c r="A72" t="inlineStr">
        <is>
          <t>Baliarda</t>
        </is>
      </c>
      <c r="B72" t="inlineStr">
        <is>
          <t>BIDECAR</t>
        </is>
      </c>
      <c r="C72" t="inlineStr">
        <is>
          <t>12.5 mg</t>
        </is>
      </c>
      <c r="D72" t="inlineStr">
        <is>
          <t>12.5 mg comp.ran.x 28</t>
        </is>
      </c>
      <c r="E72" s="2" t="n">
        <v>18215.19</v>
      </c>
      <c r="F72" s="2" t="n">
        <v>18743.43</v>
      </c>
      <c r="G72" s="2">
        <f>IFERROR(F72/28,"")</f>
        <v/>
      </c>
      <c r="H72" s="6">
        <f>IFERROR((F72-E72)/E72,"")</f>
        <v/>
      </c>
      <c r="I72" s="6">
        <f>IFERROR((G72-G67)/G67,"")</f>
        <v/>
      </c>
      <c r="J72" s="6">
        <f>IFERROR((G72-G63)/G63,"")</f>
        <v/>
      </c>
      <c r="K72" s="3" t="n">
        <v>50390</v>
      </c>
      <c r="L72" s="6">
        <f>IFERROR(K72/SUM($K$63:$K$98),"")</f>
        <v/>
      </c>
      <c r="M72" s="8" t="n">
        <v>10</v>
      </c>
    </row>
    <row r="73">
      <c r="A73" t="inlineStr">
        <is>
          <t>Elea</t>
        </is>
      </c>
      <c r="B73" t="inlineStr">
        <is>
          <t>VERATEN</t>
        </is>
      </c>
      <c r="C73" t="inlineStr">
        <is>
          <t>12.5 mg</t>
        </is>
      </c>
      <c r="D73" t="inlineStr">
        <is>
          <t>12.5 mg comp.x 30</t>
        </is>
      </c>
      <c r="E73" s="2" t="n">
        <v>21160.42</v>
      </c>
      <c r="F73" s="2" t="n">
        <v>22449.01</v>
      </c>
      <c r="G73" s="2">
        <f>IFERROR(F73/30,"")</f>
        <v/>
      </c>
      <c r="H73" s="6">
        <f>IFERROR((F73-E73)/E73,"")</f>
        <v/>
      </c>
      <c r="I73" s="6">
        <f>IFERROR((G73-G67)/G67,"")</f>
        <v/>
      </c>
      <c r="J73" s="6">
        <f>IFERROR((G73-G63)/G63,"")</f>
        <v/>
      </c>
      <c r="K73" s="3" t="n">
        <v>40869</v>
      </c>
      <c r="L73" s="6">
        <f>IFERROR(K73/SUM($K$63:$K$98),"")</f>
        <v/>
      </c>
      <c r="M73" s="8" t="n">
        <v>11</v>
      </c>
    </row>
    <row r="74">
      <c r="A74" t="inlineStr">
        <is>
          <t>Baliarda</t>
        </is>
      </c>
      <c r="B74" t="inlineStr">
        <is>
          <t>BIDECAR</t>
        </is>
      </c>
      <c r="C74" t="inlineStr">
        <is>
          <t>12.5 mg</t>
        </is>
      </c>
      <c r="D74" t="inlineStr">
        <is>
          <t>12.5 mg comp.ran.x 56</t>
        </is>
      </c>
      <c r="E74" s="2" t="n">
        <v>28748.23</v>
      </c>
      <c r="F74" s="2" t="n">
        <v>29581.93</v>
      </c>
      <c r="G74" s="2">
        <f>IFERROR(F74/56,"")</f>
        <v/>
      </c>
      <c r="H74" s="6">
        <f>IFERROR((F74-E74)/E74,"")</f>
        <v/>
      </c>
      <c r="I74" s="6">
        <f>IFERROR((G74-G67)/G67,"")</f>
        <v/>
      </c>
      <c r="J74" s="6">
        <f>IFERROR((G74-G63)/G63,"")</f>
        <v/>
      </c>
      <c r="K74" s="3" t="n">
        <v>36144</v>
      </c>
      <c r="L74" s="6">
        <f>IFERROR(K74/SUM($K$63:$K$98),"")</f>
        <v/>
      </c>
      <c r="M74" s="8" t="n">
        <v>12</v>
      </c>
    </row>
    <row r="75">
      <c r="A75" t="inlineStr">
        <is>
          <t>Baliarda</t>
        </is>
      </c>
      <c r="B75" t="inlineStr">
        <is>
          <t>BIDECAR</t>
        </is>
      </c>
      <c r="C75" t="inlineStr">
        <is>
          <t>12.5 mg</t>
        </is>
      </c>
      <c r="D75" t="inlineStr">
        <is>
          <t>12.5 mg comp.ran.x 30</t>
        </is>
      </c>
      <c r="E75" s="2" t="n">
        <v>17998.01</v>
      </c>
      <c r="F75" s="2" t="n">
        <v>18519.95</v>
      </c>
      <c r="G75" s="2">
        <f>IFERROR(F75/30,"")</f>
        <v/>
      </c>
      <c r="H75" s="6">
        <f>IFERROR((F75-E75)/E75,"")</f>
        <v/>
      </c>
      <c r="I75" s="6">
        <f>IFERROR((G75-G67)/G67,"")</f>
        <v/>
      </c>
      <c r="J75" s="6">
        <f>IFERROR((G75-G63)/G63,"")</f>
        <v/>
      </c>
      <c r="K75" s="3" t="n">
        <v>14921</v>
      </c>
      <c r="L75" s="6">
        <f>IFERROR(K75/SUM($K$63:$K$98),"")</f>
        <v/>
      </c>
      <c r="M75" s="8" t="n">
        <v>13</v>
      </c>
    </row>
    <row r="76">
      <c r="A76" t="inlineStr">
        <is>
          <t>Richet</t>
        </is>
      </c>
      <c r="B76" t="inlineStr">
        <is>
          <t>CARVEDILOL RICHET</t>
        </is>
      </c>
      <c r="C76" t="inlineStr">
        <is>
          <t>12.5 mg</t>
        </is>
      </c>
      <c r="D76" t="inlineStr">
        <is>
          <t>12.5 mg comp.x 28</t>
        </is>
      </c>
      <c r="E76" s="2" t="n">
        <v>13762.01</v>
      </c>
      <c r="F76" s="2" t="n">
        <v>14037.25</v>
      </c>
      <c r="G76" s="2">
        <f>IFERROR(F76/28,"")</f>
        <v/>
      </c>
      <c r="H76" s="6">
        <f>IFERROR((F76-E76)/E76,"")</f>
        <v/>
      </c>
      <c r="I76" s="6">
        <f>IFERROR((G76-G67)/G67,"")</f>
        <v/>
      </c>
      <c r="J76" s="6">
        <f>IFERROR((G76-G63)/G63,"")</f>
        <v/>
      </c>
      <c r="K76" s="3" t="n">
        <v>9775</v>
      </c>
      <c r="L76" s="6">
        <f>IFERROR(K76/SUM($K$63:$K$98),"")</f>
        <v/>
      </c>
      <c r="M76" s="8" t="n">
        <v>14</v>
      </c>
    </row>
    <row r="77">
      <c r="A77" t="inlineStr">
        <is>
          <t>Baliarda</t>
        </is>
      </c>
      <c r="B77" t="inlineStr">
        <is>
          <t>BIDECAR</t>
        </is>
      </c>
      <c r="C77" t="inlineStr">
        <is>
          <t>12.5 mg</t>
        </is>
      </c>
      <c r="D77" t="inlineStr">
        <is>
          <t>12.5 mg comp.ran.x 60</t>
        </is>
      </c>
      <c r="E77" s="2" t="n">
        <v>28890.46</v>
      </c>
      <c r="F77" s="2" t="n">
        <v>29728.28</v>
      </c>
      <c r="G77" s="2">
        <f>IFERROR(F77/60,"")</f>
        <v/>
      </c>
      <c r="H77" s="6">
        <f>IFERROR((F77-E77)/E77,"")</f>
        <v/>
      </c>
      <c r="I77" s="6">
        <f>IFERROR((G77-G67)/G67,"")</f>
        <v/>
      </c>
      <c r="J77" s="6">
        <f>IFERROR((G77-G63)/G63,"")</f>
        <v/>
      </c>
      <c r="K77" s="3" t="n">
        <v>7313</v>
      </c>
      <c r="L77" s="6">
        <f>IFERROR(K77/SUM($K$63:$K$98),"")</f>
        <v/>
      </c>
      <c r="M77" s="8" t="n">
        <v>15</v>
      </c>
    </row>
    <row r="78">
      <c r="A78" t="inlineStr">
        <is>
          <t>Denver Farma</t>
        </is>
      </c>
      <c r="B78" t="inlineStr">
        <is>
          <t>CARDIONORM</t>
        </is>
      </c>
      <c r="C78" t="inlineStr">
        <is>
          <t>12.5 mg</t>
        </is>
      </c>
      <c r="D78" t="inlineStr">
        <is>
          <t>12.5 mg comp.x 28</t>
        </is>
      </c>
      <c r="E78" s="2" t="n">
        <v>15287.92</v>
      </c>
      <c r="F78" s="2" t="n">
        <v>15496.97</v>
      </c>
      <c r="G78" s="2">
        <f>IFERROR(F78/28,"")</f>
        <v/>
      </c>
      <c r="H78" s="6">
        <f>IFERROR((F78-E78)/E78,"")</f>
        <v/>
      </c>
      <c r="I78" s="6">
        <f>IFERROR((G78-G67)/G67,"")</f>
        <v/>
      </c>
      <c r="J78" s="6">
        <f>IFERROR((G78-G63)/G63,"")</f>
        <v/>
      </c>
      <c r="K78" s="3" t="n">
        <v>4588</v>
      </c>
      <c r="L78" s="6">
        <f>IFERROR(K78/SUM($K$63:$K$98),"")</f>
        <v/>
      </c>
      <c r="M78" s="8" t="n">
        <v>16</v>
      </c>
    </row>
    <row r="79">
      <c r="A79" t="inlineStr">
        <is>
          <t>Lepetit</t>
        </is>
      </c>
      <c r="B79" t="inlineStr">
        <is>
          <t>VEDILEP 12.5</t>
        </is>
      </c>
      <c r="C79" t="inlineStr">
        <is>
          <t>12.5 mg</t>
        </is>
      </c>
      <c r="D79" t="inlineStr">
        <is>
          <t>12.5 mg comp.ran.x 28</t>
        </is>
      </c>
      <c r="E79" s="2" t="n">
        <v>17250</v>
      </c>
      <c r="F79" s="2" t="n">
        <v>18150</v>
      </c>
      <c r="G79" s="2">
        <f>IFERROR(F79/28,"")</f>
        <v/>
      </c>
      <c r="H79" s="6">
        <f>IFERROR((F79-E79)/E79,"")</f>
        <v/>
      </c>
      <c r="I79" s="6">
        <f>IFERROR((G79-G67)/G67,"")</f>
        <v/>
      </c>
      <c r="J79" s="6">
        <f>IFERROR((G79-G63)/G63,"")</f>
        <v/>
      </c>
      <c r="K79" s="3" t="n">
        <v>4043</v>
      </c>
      <c r="L79" s="6">
        <f>IFERROR(K79/SUM($K$63:$K$98),"")</f>
        <v/>
      </c>
      <c r="M79" s="8" t="n">
        <v>17</v>
      </c>
    </row>
    <row r="80">
      <c r="A80" t="inlineStr">
        <is>
          <t>Richet</t>
        </is>
      </c>
      <c r="B80" t="inlineStr">
        <is>
          <t>CARVEDILOL RICHET</t>
        </is>
      </c>
      <c r="C80" t="inlineStr">
        <is>
          <t>12.5 mg</t>
        </is>
      </c>
      <c r="D80" t="inlineStr">
        <is>
          <t>12.5 mg comp.x 30</t>
        </is>
      </c>
      <c r="E80" s="2" t="n">
        <v>15321.37</v>
      </c>
      <c r="F80" s="2" t="n">
        <v>15627.8</v>
      </c>
      <c r="G80" s="2">
        <f>IFERROR(F80/30,"")</f>
        <v/>
      </c>
      <c r="H80" s="6">
        <f>IFERROR((F80-E80)/E80,"")</f>
        <v/>
      </c>
      <c r="I80" s="6">
        <f>IFERROR((G80-G67)/G67,"")</f>
        <v/>
      </c>
      <c r="J80" s="6">
        <f>IFERROR((G80-G63)/G63,"")</f>
        <v/>
      </c>
      <c r="K80" s="3" t="n">
        <v>3549</v>
      </c>
      <c r="L80" s="6">
        <f>IFERROR(K80/SUM($K$63:$K$98),"")</f>
        <v/>
      </c>
      <c r="M80" s="8" t="n">
        <v>18</v>
      </c>
    </row>
    <row r="81">
      <c r="A81" t="inlineStr">
        <is>
          <t>Rospaw</t>
        </is>
      </c>
      <c r="B81" t="inlineStr">
        <is>
          <t>CARVIPAW</t>
        </is>
      </c>
      <c r="C81" t="inlineStr">
        <is>
          <t>12.5 mg</t>
        </is>
      </c>
      <c r="D81" t="inlineStr">
        <is>
          <t>12.5 mg comp.x 30</t>
        </is>
      </c>
      <c r="E81" s="2" t="n">
        <v>15894.72</v>
      </c>
      <c r="F81" s="2" t="n">
        <v>16355.67</v>
      </c>
      <c r="G81" s="2">
        <f>IFERROR(F81/30,"")</f>
        <v/>
      </c>
      <c r="H81" s="6">
        <f>IFERROR((F81-E81)/E81,"")</f>
        <v/>
      </c>
      <c r="I81" s="6">
        <f>IFERROR((G81-G67)/G67,"")</f>
        <v/>
      </c>
      <c r="J81" s="6">
        <f>IFERROR((G81-G63)/G63,"")</f>
        <v/>
      </c>
      <c r="K81" s="3" t="n">
        <v>3295</v>
      </c>
      <c r="L81" s="6">
        <f>IFERROR(K81/SUM($K$63:$K$98),"")</f>
        <v/>
      </c>
      <c r="M81" s="8" t="n">
        <v>19</v>
      </c>
    </row>
    <row r="82">
      <c r="A82" t="inlineStr">
        <is>
          <t>Vannier</t>
        </is>
      </c>
      <c r="B82" t="inlineStr">
        <is>
          <t>CARVEDILOL VANNIER 12.5</t>
        </is>
      </c>
      <c r="C82" t="inlineStr">
        <is>
          <t>12.5 mg</t>
        </is>
      </c>
      <c r="D82" t="inlineStr">
        <is>
          <t>12.5 mg comp.x 30</t>
        </is>
      </c>
      <c r="E82" s="2" t="n">
        <v>15011.32</v>
      </c>
      <c r="F82" s="2" t="n">
        <v>15633.54</v>
      </c>
      <c r="G82" s="2">
        <f>IFERROR(F82/30,"")</f>
        <v/>
      </c>
      <c r="H82" s="6">
        <f>IFERROR((F82-E82)/E82,"")</f>
        <v/>
      </c>
      <c r="I82" s="6">
        <f>IFERROR((G82-G67)/G67,"")</f>
        <v/>
      </c>
      <c r="J82" s="6">
        <f>IFERROR((G82-G63)/G63,"")</f>
        <v/>
      </c>
      <c r="K82" s="3" t="n">
        <v>2858</v>
      </c>
      <c r="L82" s="6">
        <f>IFERROR(K82/SUM($K$63:$K$98),"")</f>
        <v/>
      </c>
      <c r="M82" s="8" t="n">
        <v>20</v>
      </c>
    </row>
    <row r="83">
      <c r="A83" t="inlineStr">
        <is>
          <t>Lazar</t>
        </is>
      </c>
      <c r="B83" t="inlineStr">
        <is>
          <t>CORUBIN</t>
        </is>
      </c>
      <c r="C83" t="inlineStr">
        <is>
          <t>12.5 mg</t>
        </is>
      </c>
      <c r="D83" t="inlineStr">
        <is>
          <t>12.5 mg comp.x 28</t>
        </is>
      </c>
      <c r="E83" s="2" t="n">
        <v>15775.16</v>
      </c>
      <c r="F83" s="2" t="n">
        <v>16784.55</v>
      </c>
      <c r="G83" s="2">
        <f>IFERROR(F83/28,"")</f>
        <v/>
      </c>
      <c r="H83" s="6">
        <f>IFERROR((F83-E83)/E83,"")</f>
        <v/>
      </c>
      <c r="I83" s="6">
        <f>IFERROR((G83-G67)/G67,"")</f>
        <v/>
      </c>
      <c r="J83" s="6">
        <f>IFERROR((G83-G63)/G63,"")</f>
        <v/>
      </c>
      <c r="K83" s="3" t="n">
        <v>1652</v>
      </c>
      <c r="L83" s="6">
        <f>IFERROR(K83/SUM($K$63:$K$98),"")</f>
        <v/>
      </c>
      <c r="M83" s="8" t="n">
        <v>21</v>
      </c>
    </row>
    <row r="84">
      <c r="A84" t="inlineStr">
        <is>
          <t>Géminis Farmacéutica</t>
        </is>
      </c>
      <c r="B84" t="inlineStr">
        <is>
          <t>CARVICORD</t>
        </is>
      </c>
      <c r="C84" t="inlineStr">
        <is>
          <t>12.5 mg</t>
        </is>
      </c>
      <c r="D84" t="inlineStr">
        <is>
          <t>12.5 mg comp.birran.x 30</t>
        </is>
      </c>
      <c r="E84" s="2" t="n">
        <v>16450</v>
      </c>
      <c r="F84" s="2" t="n">
        <v>16927.05</v>
      </c>
      <c r="G84" s="2">
        <f>IFERROR(F84/30,"")</f>
        <v/>
      </c>
      <c r="H84" s="6">
        <f>IFERROR((F84-E84)/E84,"")</f>
        <v/>
      </c>
      <c r="I84" s="6">
        <f>IFERROR((G84-G67)/G67,"")</f>
        <v/>
      </c>
      <c r="J84" s="6">
        <f>IFERROR((G84-G63)/G63,"")</f>
        <v/>
      </c>
      <c r="K84" s="3" t="n">
        <v>1619</v>
      </c>
      <c r="L84" s="6">
        <f>IFERROR(K84/SUM($K$63:$K$98),"")</f>
        <v/>
      </c>
      <c r="M84" s="8" t="n">
        <v>22</v>
      </c>
    </row>
    <row r="85">
      <c r="A85" t="inlineStr">
        <is>
          <t>Richet</t>
        </is>
      </c>
      <c r="B85" t="inlineStr">
        <is>
          <t>CARVEDILOL RICHET</t>
        </is>
      </c>
      <c r="C85" t="inlineStr">
        <is>
          <t>12.5 mg</t>
        </is>
      </c>
      <c r="D85" t="inlineStr">
        <is>
          <t>12.5 mg comp.x 56</t>
        </is>
      </c>
      <c r="E85" s="2" t="n">
        <v>25756.63</v>
      </c>
      <c r="F85" s="2" t="n">
        <v>26271.76</v>
      </c>
      <c r="G85" s="2">
        <f>IFERROR(F85/56,"")</f>
        <v/>
      </c>
      <c r="H85" s="6">
        <f>IFERROR((F85-E85)/E85,"")</f>
        <v/>
      </c>
      <c r="I85" s="6">
        <f>IFERROR((G85-G67)/G67,"")</f>
        <v/>
      </c>
      <c r="J85" s="6">
        <f>IFERROR((G85-G63)/G63,"")</f>
        <v/>
      </c>
      <c r="K85" s="3" t="n">
        <v>756</v>
      </c>
      <c r="L85" s="6">
        <f>IFERROR(K85/SUM($K$63:$K$98),"")</f>
        <v/>
      </c>
      <c r="M85" s="8" t="n">
        <v>23</v>
      </c>
    </row>
    <row r="86">
      <c r="A86" t="inlineStr">
        <is>
          <t>Microsules Arg.</t>
        </is>
      </c>
      <c r="B86" t="inlineStr">
        <is>
          <t>ENTARSOL 12.5</t>
        </is>
      </c>
      <c r="C86" t="inlineStr">
        <is>
          <t>12.5 mg</t>
        </is>
      </c>
      <c r="D86" t="inlineStr">
        <is>
          <t>12.5 mg comp.x 28</t>
        </is>
      </c>
      <c r="E86" s="2" t="n">
        <v>14653.42</v>
      </c>
      <c r="F86" s="2" t="n">
        <v>14653.42</v>
      </c>
      <c r="G86" s="2">
        <f>IFERROR(F86/28,"")</f>
        <v/>
      </c>
      <c r="H86" s="6">
        <f>IFERROR((F86-E86)/E86,"")</f>
        <v/>
      </c>
      <c r="I86" s="6">
        <f>IFERROR((G86-G67)/G67,"")</f>
        <v/>
      </c>
      <c r="J86" s="6">
        <f>IFERROR((G86-G63)/G63,"")</f>
        <v/>
      </c>
      <c r="K86" s="3" t="n">
        <v>679</v>
      </c>
      <c r="L86" s="6">
        <f>IFERROR(K86/SUM($K$63:$K$98),"")</f>
        <v/>
      </c>
      <c r="M86" s="8" t="n">
        <v>24</v>
      </c>
    </row>
    <row r="87">
      <c r="A87" t="inlineStr">
        <is>
          <t>Biotenk</t>
        </is>
      </c>
      <c r="B87" t="inlineStr">
        <is>
          <t>CARVEDILOL BIOTENK</t>
        </is>
      </c>
      <c r="C87" t="inlineStr">
        <is>
          <t>12.5 mg</t>
        </is>
      </c>
      <c r="D87" t="inlineStr">
        <is>
          <t>12.5 mg comp.x 28</t>
        </is>
      </c>
      <c r="E87" s="2" t="n">
        <v>16288.73</v>
      </c>
      <c r="F87" s="2" t="n">
        <v>17448.49</v>
      </c>
      <c r="G87" s="2">
        <f>IFERROR(F87/28,"")</f>
        <v/>
      </c>
      <c r="H87" s="6">
        <f>IFERROR((F87-E87)/E87,"")</f>
        <v/>
      </c>
      <c r="I87" s="6">
        <f>IFERROR((G87-G67)/G67,"")</f>
        <v/>
      </c>
      <c r="J87" s="6">
        <f>IFERROR((G87-G63)/G63,"")</f>
        <v/>
      </c>
      <c r="K87" s="3" t="n">
        <v>617</v>
      </c>
      <c r="L87" s="6">
        <f>IFERROR(K87/SUM($K$63:$K$98),"")</f>
        <v/>
      </c>
      <c r="M87" s="8" t="n">
        <v>25</v>
      </c>
    </row>
    <row r="88">
      <c r="A88" t="inlineStr">
        <is>
          <t>Craveri</t>
        </is>
      </c>
      <c r="B88" t="inlineStr">
        <is>
          <t>ANTIBLOC 12.5</t>
        </is>
      </c>
      <c r="C88" t="inlineStr">
        <is>
          <t>12.5 mg</t>
        </is>
      </c>
      <c r="D88" t="inlineStr">
        <is>
          <t>12.5 mg comp.x 30</t>
        </is>
      </c>
      <c r="E88" s="2" t="n">
        <v>18450.23</v>
      </c>
      <c r="F88" s="2" t="n">
        <v>19859.83</v>
      </c>
      <c r="G88" s="2">
        <f>IFERROR(F88/30,"")</f>
        <v/>
      </c>
      <c r="H88" s="6">
        <f>IFERROR((F88-E88)/E88,"")</f>
        <v/>
      </c>
      <c r="I88" s="6">
        <f>IFERROR((G88-G67)/G67,"")</f>
        <v/>
      </c>
      <c r="J88" s="6">
        <f>IFERROR((G88-G63)/G63,"")</f>
        <v/>
      </c>
      <c r="K88" s="3" t="n">
        <v>551</v>
      </c>
      <c r="L88" s="6">
        <f>IFERROR(K88/SUM($K$63:$K$98),"")</f>
        <v/>
      </c>
      <c r="M88" s="8" t="n">
        <v>26</v>
      </c>
    </row>
    <row r="89">
      <c r="A89" t="inlineStr">
        <is>
          <t>Microsules Arg.</t>
        </is>
      </c>
      <c r="B89" t="inlineStr">
        <is>
          <t>ENTARSOL 12.5</t>
        </is>
      </c>
      <c r="C89" t="inlineStr">
        <is>
          <t>12.5 mg</t>
        </is>
      </c>
      <c r="D89" t="inlineStr">
        <is>
          <t>12.5 mg comp.rec.x 30</t>
        </is>
      </c>
      <c r="E89" s="2" t="n">
        <v>17484.47</v>
      </c>
      <c r="F89" s="2" t="n">
        <v>17939.07</v>
      </c>
      <c r="G89" s="2">
        <f>IFERROR(F89/30,"")</f>
        <v/>
      </c>
      <c r="H89" s="6">
        <f>IFERROR((F89-E89)/E89,"")</f>
        <v/>
      </c>
      <c r="I89" s="6">
        <f>IFERROR((G89-G67)/G67,"")</f>
        <v/>
      </c>
      <c r="J89" s="6">
        <f>IFERROR((G89-G63)/G63,"")</f>
        <v/>
      </c>
      <c r="K89" s="3" t="n">
        <v>294</v>
      </c>
      <c r="L89" s="6">
        <f>IFERROR(K89/SUM($K$63:$K$98),"")</f>
        <v/>
      </c>
      <c r="M89" s="8" t="n">
        <v>27</v>
      </c>
    </row>
    <row r="90">
      <c r="A90" t="inlineStr">
        <is>
          <t>Géminis Farmacéutica</t>
        </is>
      </c>
      <c r="B90" t="inlineStr">
        <is>
          <t>CARVICORD</t>
        </is>
      </c>
      <c r="C90" t="inlineStr">
        <is>
          <t>12.5 mg</t>
        </is>
      </c>
      <c r="D90" t="inlineStr">
        <is>
          <t>12.5 mg comp.x 60</t>
        </is>
      </c>
      <c r="E90" s="2" t="n">
        <v>27040.43</v>
      </c>
      <c r="F90" s="2" t="n">
        <v>27824.6</v>
      </c>
      <c r="G90" s="2">
        <f>IFERROR(F90/60,"")</f>
        <v/>
      </c>
      <c r="H90" s="6">
        <f>IFERROR((F90-E90)/E90,"")</f>
        <v/>
      </c>
      <c r="I90" s="6">
        <f>IFERROR((G90-G67)/G67,"")</f>
        <v/>
      </c>
      <c r="J90" s="6">
        <f>IFERROR((G90-G63)/G63,"")</f>
        <v/>
      </c>
      <c r="K90" s="3" t="n">
        <v>142</v>
      </c>
      <c r="L90" s="6">
        <f>IFERROR(K90/SUM($K$63:$K$98),"")</f>
        <v/>
      </c>
      <c r="M90" s="8" t="n">
        <v>28</v>
      </c>
    </row>
    <row r="91">
      <c r="A91" t="inlineStr">
        <is>
          <t>Richmond</t>
        </is>
      </c>
      <c r="B91" t="inlineStr">
        <is>
          <t>VICARDOL</t>
        </is>
      </c>
      <c r="C91" t="inlineStr">
        <is>
          <t>12.5 mg</t>
        </is>
      </c>
      <c r="D91" t="inlineStr">
        <is>
          <t>12.50 mg comp.x 28</t>
        </is>
      </c>
      <c r="E91" s="2" t="n">
        <v>17154.25</v>
      </c>
      <c r="F91" s="2" t="n">
        <v>17754.65</v>
      </c>
      <c r="G91" s="2">
        <f>IFERROR(F91/28,"")</f>
        <v/>
      </c>
      <c r="H91" s="6">
        <f>IFERROR((F91-E91)/E91,"")</f>
        <v/>
      </c>
      <c r="I91" s="6">
        <f>IFERROR((G91-G67)/G67,"")</f>
        <v/>
      </c>
      <c r="J91" s="6">
        <f>IFERROR((G91-G63)/G63,"")</f>
        <v/>
      </c>
      <c r="K91" s="3" t="n">
        <v>48</v>
      </c>
      <c r="L91" s="6">
        <f>IFERROR(K91/SUM($K$63:$K$98),"")</f>
        <v/>
      </c>
      <c r="M91" s="8" t="n">
        <v>29</v>
      </c>
    </row>
    <row r="92">
      <c r="A92" t="inlineStr">
        <is>
          <t>Richet</t>
        </is>
      </c>
      <c r="B92" t="inlineStr">
        <is>
          <t>CARVEDILOL RICHET</t>
        </is>
      </c>
      <c r="C92" t="inlineStr">
        <is>
          <t>12.5 mg</t>
        </is>
      </c>
      <c r="D92" t="inlineStr">
        <is>
          <t>12.5 mg comp.x 60</t>
        </is>
      </c>
      <c r="E92" s="2" t="n">
        <v>26767.64</v>
      </c>
      <c r="F92" s="2" t="n">
        <v>27303</v>
      </c>
      <c r="G92" s="2">
        <f>IFERROR(F92/60,"")</f>
        <v/>
      </c>
      <c r="H92" s="6">
        <f>IFERROR((F92-E92)/E92,"")</f>
        <v/>
      </c>
      <c r="I92" s="6">
        <f>IFERROR((G92-G67)/G67,"")</f>
        <v/>
      </c>
      <c r="J92" s="6">
        <f>IFERROR((G92-G63)/G63,"")</f>
        <v/>
      </c>
      <c r="K92" s="3" t="n">
        <v>22</v>
      </c>
      <c r="L92" s="6">
        <f>IFERROR(K92/SUM($K$63:$K$98),"")</f>
        <v/>
      </c>
      <c r="M92" s="8" t="n">
        <v>30</v>
      </c>
    </row>
    <row r="93">
      <c r="A93" t="inlineStr">
        <is>
          <t>Lafedar</t>
        </is>
      </c>
      <c r="B93" t="inlineStr">
        <is>
          <t>KOLLOSTERIL</t>
        </is>
      </c>
      <c r="C93" t="inlineStr">
        <is>
          <t>12.5 mg</t>
        </is>
      </c>
      <c r="D93" t="inlineStr">
        <is>
          <t>12.5 mg comp.x 28</t>
        </is>
      </c>
      <c r="E93" s="2" t="n">
        <v>13595.8</v>
      </c>
      <c r="F93" s="2" t="n">
        <v>14465.74</v>
      </c>
      <c r="G93" s="2">
        <f>IFERROR(F93/28,"")</f>
        <v/>
      </c>
      <c r="H93" s="6">
        <f>IFERROR((F93-E93)/E93,"")</f>
        <v/>
      </c>
      <c r="I93" s="6">
        <f>IFERROR((G93-G67)/G67,"")</f>
        <v/>
      </c>
      <c r="J93" s="6">
        <f>IFERROR((G93-G63)/G63,"")</f>
        <v/>
      </c>
      <c r="K93" s="3" t="n">
        <v>1</v>
      </c>
      <c r="L93" s="6">
        <f>IFERROR(K93/SUM($K$63:$K$98),"")</f>
        <v/>
      </c>
      <c r="M93" s="8" t="n">
        <v>31</v>
      </c>
    </row>
    <row r="94">
      <c r="A94" t="inlineStr">
        <is>
          <t>Vannier</t>
        </is>
      </c>
      <c r="B94" t="inlineStr">
        <is>
          <t>CARVEDILOL VANNIER 12.5</t>
        </is>
      </c>
      <c r="C94" t="inlineStr">
        <is>
          <t>12.5 mg</t>
        </is>
      </c>
      <c r="D94" t="inlineStr">
        <is>
          <t>12.5 mg comp.x 60</t>
        </is>
      </c>
      <c r="E94" s="2" t="n">
        <v>18745.56</v>
      </c>
      <c r="F94" s="2" t="n">
        <v>18745.56</v>
      </c>
      <c r="G94" s="2">
        <f>IFERROR(F94/60,"")</f>
        <v/>
      </c>
      <c r="H94" s="6">
        <f>IFERROR((F94-E94)/E94,"")</f>
        <v/>
      </c>
      <c r="I94" s="6">
        <f>IFERROR((G94-G67)/G67,"")</f>
        <v/>
      </c>
      <c r="J94" s="6">
        <f>IFERROR((G94-G63)/G63,"")</f>
        <v/>
      </c>
      <c r="K94" s="3" t="n">
        <v>1</v>
      </c>
      <c r="L94" s="6">
        <f>IFERROR(K94/SUM($K$63:$K$98),"")</f>
        <v/>
      </c>
      <c r="M94" s="8" t="n">
        <v>32</v>
      </c>
    </row>
    <row r="95">
      <c r="A95" t="inlineStr">
        <is>
          <t>Klonal</t>
        </is>
      </c>
      <c r="B95" t="inlineStr">
        <is>
          <t>HIPOTEN KLONAL</t>
        </is>
      </c>
      <c r="C95" t="inlineStr">
        <is>
          <t>12.5 mg</t>
        </is>
      </c>
      <c r="D95" t="inlineStr">
        <is>
          <t>12.5 mg comp.ran.x 30</t>
        </is>
      </c>
      <c r="E95" s="2" t="n">
        <v>15095.4</v>
      </c>
      <c r="F95" s="2" t="n">
        <v>17359.71</v>
      </c>
      <c r="G95" s="2">
        <f>IFERROR(F95/30,"")</f>
        <v/>
      </c>
      <c r="H95" s="6">
        <f>IFERROR((F95-E95)/E95,"")</f>
        <v/>
      </c>
      <c r="I95" s="6">
        <f>IFERROR((G95-G67)/G67,"")</f>
        <v/>
      </c>
      <c r="J95" s="6">
        <f>IFERROR((G95-G63)/G63,"")</f>
        <v/>
      </c>
      <c r="K95" s="3" t="n"/>
      <c r="L95" s="6">
        <f>IFERROR(K95/SUM($K$63:$K$98),"")</f>
        <v/>
      </c>
      <c r="M95" s="8" t="n">
        <v>33</v>
      </c>
    </row>
    <row r="96">
      <c r="A96" t="inlineStr">
        <is>
          <t>Laboratorios Bernabó</t>
        </is>
      </c>
      <c r="B96" t="inlineStr">
        <is>
          <t>CORAFEN</t>
        </is>
      </c>
      <c r="C96" t="inlineStr">
        <is>
          <t>12.5 mg</t>
        </is>
      </c>
      <c r="D96" t="inlineStr">
        <is>
          <t>12.5 mg comp.ran.x 28</t>
        </is>
      </c>
      <c r="E96" s="2" t="n">
        <v>14591.27</v>
      </c>
      <c r="F96" s="2" t="n">
        <v>14591.27</v>
      </c>
      <c r="G96" s="2">
        <f>IFERROR(F96/28,"")</f>
        <v/>
      </c>
      <c r="H96" s="6">
        <f>IFERROR((F96-E96)/E96,"")</f>
        <v/>
      </c>
      <c r="I96" s="6">
        <f>IFERROR((G96-G67)/G67,"")</f>
        <v/>
      </c>
      <c r="J96" s="6">
        <f>IFERROR((G96-G63)/G63,"")</f>
        <v/>
      </c>
      <c r="K96" s="3" t="n"/>
      <c r="L96" s="6">
        <f>IFERROR(K96/SUM($K$63:$K$98),"")</f>
        <v/>
      </c>
      <c r="M96" s="8" t="n">
        <v>34</v>
      </c>
    </row>
    <row r="97">
      <c r="A97" t="inlineStr">
        <is>
          <t>Savant Generic</t>
        </is>
      </c>
      <c r="B97" t="inlineStr">
        <is>
          <t>CARTIATO</t>
        </is>
      </c>
      <c r="C97" t="inlineStr">
        <is>
          <t>12.5 mg</t>
        </is>
      </c>
      <c r="D97" t="inlineStr">
        <is>
          <t>12.5 mg comp.x 30</t>
        </is>
      </c>
      <c r="E97" s="2" t="n">
        <v>6192.2</v>
      </c>
      <c r="F97" s="2" t="n">
        <v>6192.2</v>
      </c>
      <c r="G97" s="2">
        <f>IFERROR(F97/30,"")</f>
        <v/>
      </c>
      <c r="H97" s="6">
        <f>IFERROR((F97-E97)/E97,"")</f>
        <v/>
      </c>
      <c r="I97" s="6">
        <f>IFERROR((G97-G67)/G67,"")</f>
        <v/>
      </c>
      <c r="J97" s="6">
        <f>IFERROR((G97-G63)/G63,"")</f>
        <v/>
      </c>
      <c r="K97" s="3" t="n"/>
      <c r="L97" s="6">
        <f>IFERROR(K97/SUM($K$63:$K$98),"")</f>
        <v/>
      </c>
      <c r="M97" s="8" t="n">
        <v>35</v>
      </c>
    </row>
    <row r="98">
      <c r="A98" t="inlineStr">
        <is>
          <t>Sidus</t>
        </is>
      </c>
      <c r="B98" t="inlineStr">
        <is>
          <t>DUOBLOC</t>
        </is>
      </c>
      <c r="C98" t="inlineStr">
        <is>
          <t>12.5 mg</t>
        </is>
      </c>
      <c r="D98" t="inlineStr">
        <is>
          <t>12.5 mg comp.x 28</t>
        </is>
      </c>
      <c r="E98" s="2" t="n">
        <v>5284.86</v>
      </c>
      <c r="F98" s="2" t="n">
        <v>5284.86</v>
      </c>
      <c r="G98" s="2">
        <f>IFERROR(F98/28,"")</f>
        <v/>
      </c>
      <c r="H98" s="6">
        <f>IFERROR((F98-E98)/E98,"")</f>
        <v/>
      </c>
      <c r="I98" s="6">
        <f>IFERROR((G98-G67)/G67,"")</f>
        <v/>
      </c>
      <c r="J98" s="6">
        <f>IFERROR((G98-G63)/G63,"")</f>
        <v/>
      </c>
      <c r="K98" s="3" t="n"/>
      <c r="L98" s="6">
        <f>IFERROR(K98/SUM($K$63:$K$98),"")</f>
        <v/>
      </c>
      <c r="M98" s="8" t="n">
        <v>36</v>
      </c>
    </row>
    <row r="100" ht="20" customHeight="1">
      <c r="A100" s="5" t="inlineStr">
        <is>
          <t>Dosis: 20 mg — carvedilol</t>
        </is>
      </c>
    </row>
    <row r="101">
      <c r="A101" t="inlineStr">
        <is>
          <t>Gador</t>
        </is>
      </c>
      <c r="B101" t="inlineStr">
        <is>
          <t>FILTEN LP</t>
        </is>
      </c>
      <c r="C101" t="inlineStr">
        <is>
          <t>20 mg</t>
        </is>
      </c>
      <c r="D101" t="inlineStr">
        <is>
          <t>20 mg cáps.lib.prol.x 30</t>
        </is>
      </c>
      <c r="E101" s="2" t="n">
        <v>34327.21</v>
      </c>
      <c r="F101" s="2" t="n">
        <v>35185.39</v>
      </c>
      <c r="G101" s="2">
        <f>IFERROR(F101/30,"")</f>
        <v/>
      </c>
      <c r="H101" s="6">
        <f>IFERROR((F101-E101)/E101,"")</f>
        <v/>
      </c>
      <c r="I101" s="6">
        <f>IFERROR((G101-G103)/G103,"")</f>
        <v/>
      </c>
      <c r="J101" s="7" t="inlineStr">
        <is>
          <t>Líder</t>
        </is>
      </c>
      <c r="K101" s="3" t="n">
        <v>105988</v>
      </c>
      <c r="L101" s="6">
        <f>IFERROR(K101/SUM($K$101:$K$107),"")</f>
        <v/>
      </c>
      <c r="M101" s="8" t="n">
        <v>1</v>
      </c>
    </row>
    <row r="102">
      <c r="A102" t="inlineStr">
        <is>
          <t>Baliarda</t>
        </is>
      </c>
      <c r="B102" t="inlineStr">
        <is>
          <t>BIDECAR CR</t>
        </is>
      </c>
      <c r="C102" t="inlineStr">
        <is>
          <t>20 mg</t>
        </is>
      </c>
      <c r="D102" t="inlineStr">
        <is>
          <t>20 mg cáps.lib.cont.x 28</t>
        </is>
      </c>
      <c r="E102" s="2" t="n">
        <v>33643.6</v>
      </c>
      <c r="F102" s="2" t="n">
        <v>34619.26</v>
      </c>
      <c r="G102" s="2">
        <f>IFERROR(F102/28,"")</f>
        <v/>
      </c>
      <c r="H102" s="6">
        <f>IFERROR((F102-E102)/E102,"")</f>
        <v/>
      </c>
      <c r="I102" s="6">
        <f>IFERROR((G102-G103)/G103,"")</f>
        <v/>
      </c>
      <c r="J102" s="6">
        <f>IFERROR((G102-G101)/G101,"")</f>
        <v/>
      </c>
      <c r="K102" s="3" t="n">
        <v>22816</v>
      </c>
      <c r="L102" s="6">
        <f>IFERROR(K102/SUM($K$101:$K$107),"")</f>
        <v/>
      </c>
      <c r="M102" s="8" t="n">
        <v>2</v>
      </c>
    </row>
    <row r="103">
      <c r="A103" s="9" t="inlineStr">
        <is>
          <t>Siegfried ★ SIE</t>
        </is>
      </c>
      <c r="B103" s="9" t="inlineStr">
        <is>
          <t>DILATREND AP</t>
        </is>
      </c>
      <c r="C103" s="9" t="inlineStr">
        <is>
          <t>20 mg</t>
        </is>
      </c>
      <c r="D103" s="9" t="inlineStr">
        <is>
          <t>20 mg cáps.x 30</t>
        </is>
      </c>
      <c r="E103" s="10" t="n">
        <v>34429.12</v>
      </c>
      <c r="F103" s="10" t="n">
        <v>35358.71</v>
      </c>
      <c r="G103" s="10">
        <f>IFERROR(F103/30,"")</f>
        <v/>
      </c>
      <c r="H103" s="11" t="n"/>
      <c r="I103" s="11" t="n"/>
      <c r="J103" s="11">
        <f>IFERROR((G103-G101)/G101,"")</f>
        <v/>
      </c>
      <c r="K103" s="12" t="n">
        <v>22359</v>
      </c>
      <c r="L103" s="11">
        <f>IFERROR(K103/SUM($K$101:$K$107),"")</f>
        <v/>
      </c>
      <c r="M103" s="13" t="n">
        <v>3</v>
      </c>
    </row>
    <row r="104">
      <c r="A104" t="inlineStr">
        <is>
          <t>Elea</t>
        </is>
      </c>
      <c r="B104" t="inlineStr">
        <is>
          <t>VERATEN UD</t>
        </is>
      </c>
      <c r="C104" t="inlineStr">
        <is>
          <t>20 mg</t>
        </is>
      </c>
      <c r="D104" t="inlineStr">
        <is>
          <t>20 mg cáps.lib.ext.x 30</t>
        </is>
      </c>
      <c r="E104" s="2" t="n">
        <v>36029.07</v>
      </c>
      <c r="F104" s="2" t="n">
        <v>38223.1</v>
      </c>
      <c r="G104" s="2">
        <f>IFERROR(F104/30,"")</f>
        <v/>
      </c>
      <c r="H104" s="6">
        <f>IFERROR((F104-E104)/E104,"")</f>
        <v/>
      </c>
      <c r="I104" s="6">
        <f>IFERROR((G104-G103)/G103,"")</f>
        <v/>
      </c>
      <c r="J104" s="6">
        <f>IFERROR((G104-G101)/G101,"")</f>
        <v/>
      </c>
      <c r="K104" s="3" t="n">
        <v>10318</v>
      </c>
      <c r="L104" s="6">
        <f>IFERROR(K104/SUM($K$101:$K$107),"")</f>
        <v/>
      </c>
      <c r="M104" s="8" t="n">
        <v>4</v>
      </c>
    </row>
    <row r="105">
      <c r="A105" t="inlineStr">
        <is>
          <t>Bagó</t>
        </is>
      </c>
      <c r="B105" t="inlineStr">
        <is>
          <t>CARVEDIL RETARD 20</t>
        </is>
      </c>
      <c r="C105" t="inlineStr">
        <is>
          <t>20 mg</t>
        </is>
      </c>
      <c r="D105" t="inlineStr">
        <is>
          <t>20 mg cáps.lib.prol.x 28</t>
        </is>
      </c>
      <c r="E105" s="2" t="n">
        <v>31656.62</v>
      </c>
      <c r="F105" s="2" t="n">
        <v>31656.62</v>
      </c>
      <c r="G105" s="2">
        <f>IFERROR(F105/28,"")</f>
        <v/>
      </c>
      <c r="H105" s="6">
        <f>IFERROR((F105-E105)/E105,"")</f>
        <v/>
      </c>
      <c r="I105" s="6">
        <f>IFERROR((G105-G103)/G103,"")</f>
        <v/>
      </c>
      <c r="J105" s="6">
        <f>IFERROR((G105-G101)/G101,"")</f>
        <v/>
      </c>
      <c r="K105" s="3" t="n">
        <v>44</v>
      </c>
      <c r="L105" s="6">
        <f>IFERROR(K105/SUM($K$101:$K$107),"")</f>
        <v/>
      </c>
      <c r="M105" s="8" t="n">
        <v>5</v>
      </c>
    </row>
    <row r="106">
      <c r="A106" t="inlineStr">
        <is>
          <t>Bagó</t>
        </is>
      </c>
      <c r="B106" t="inlineStr">
        <is>
          <t>CARVEDIL RETARD 20</t>
        </is>
      </c>
      <c r="C106" t="inlineStr">
        <is>
          <t>20 mg</t>
        </is>
      </c>
      <c r="D106" t="inlineStr">
        <is>
          <t>20 mg cáps.lib.prol.x 30</t>
        </is>
      </c>
      <c r="E106" s="2" t="n">
        <v>33443.87</v>
      </c>
      <c r="F106" s="2" t="n">
        <v>33443.87</v>
      </c>
      <c r="G106" s="2">
        <f>IFERROR(F106/30,"")</f>
        <v/>
      </c>
      <c r="H106" s="6">
        <f>IFERROR((F106-E106)/E106,"")</f>
        <v/>
      </c>
      <c r="I106" s="6">
        <f>IFERROR((G106-G103)/G103,"")</f>
        <v/>
      </c>
      <c r="J106" s="6">
        <f>IFERROR((G106-G101)/G101,"")</f>
        <v/>
      </c>
      <c r="K106" s="3" t="n">
        <v>33</v>
      </c>
      <c r="L106" s="6">
        <f>IFERROR(K106/SUM($K$101:$K$107),"")</f>
        <v/>
      </c>
      <c r="M106" s="8" t="n">
        <v>6</v>
      </c>
    </row>
    <row r="107">
      <c r="A107" t="inlineStr">
        <is>
          <t>Casasco</t>
        </is>
      </c>
      <c r="B107" t="inlineStr">
        <is>
          <t>ISOBLOC CR 20 MG</t>
        </is>
      </c>
      <c r="C107" t="inlineStr">
        <is>
          <t>20 mg</t>
        </is>
      </c>
      <c r="D107" t="inlineStr">
        <is>
          <t>20 mg cáps.x 30</t>
        </is>
      </c>
      <c r="E107" s="2" t="n">
        <v>33122.22</v>
      </c>
      <c r="F107" s="2" t="n">
        <v>34082.76</v>
      </c>
      <c r="G107" s="2">
        <f>IFERROR(F107/30,"")</f>
        <v/>
      </c>
      <c r="H107" s="6">
        <f>IFERROR((F107-E107)/E107,"")</f>
        <v/>
      </c>
      <c r="I107" s="6">
        <f>IFERROR((G107-G103)/G103,"")</f>
        <v/>
      </c>
      <c r="J107" s="6">
        <f>IFERROR((G107-G101)/G101,"")</f>
        <v/>
      </c>
      <c r="K107" s="3" t="n"/>
      <c r="L107" s="6">
        <f>IFERROR(K107/SUM($K$101:$K$107),"")</f>
        <v/>
      </c>
      <c r="M107" s="8" t="n">
        <v>7</v>
      </c>
    </row>
    <row r="109" ht="20" customHeight="1">
      <c r="A109" s="5" t="inlineStr">
        <is>
          <t>Dosis: 25 mg — carvedilol</t>
        </is>
      </c>
    </row>
    <row r="110">
      <c r="A110" t="inlineStr">
        <is>
          <t>Gador</t>
        </is>
      </c>
      <c r="B110" t="inlineStr">
        <is>
          <t>FILTEN</t>
        </is>
      </c>
      <c r="C110" t="inlineStr">
        <is>
          <t>25 mg</t>
        </is>
      </c>
      <c r="D110" t="inlineStr">
        <is>
          <t>25 mg comp.ran.x 30</t>
        </is>
      </c>
      <c r="E110" s="2" t="n">
        <v>22784.97</v>
      </c>
      <c r="F110" s="2" t="n">
        <v>23354.59</v>
      </c>
      <c r="G110" s="2">
        <f>IFERROR(F110/30,"")</f>
        <v/>
      </c>
      <c r="H110" s="6">
        <f>IFERROR((F110-E110)/E110,"")</f>
        <v/>
      </c>
      <c r="I110" s="6">
        <f>IFERROR((G110-G115)/G115,"")</f>
        <v/>
      </c>
      <c r="J110" s="7" t="inlineStr">
        <is>
          <t>Líder</t>
        </is>
      </c>
      <c r="K110" s="3" t="n">
        <v>172501</v>
      </c>
      <c r="L110" s="6">
        <f>IFERROR(K110/SUM($K$110:$K$145),"")</f>
        <v/>
      </c>
      <c r="M110" s="8" t="n">
        <v>1</v>
      </c>
    </row>
    <row r="111">
      <c r="A111" t="inlineStr">
        <is>
          <t>Bagó</t>
        </is>
      </c>
      <c r="B111" t="inlineStr">
        <is>
          <t>CARVEDIL 25</t>
        </is>
      </c>
      <c r="C111" t="inlineStr">
        <is>
          <t>25 mg</t>
        </is>
      </c>
      <c r="D111" t="inlineStr">
        <is>
          <t>25 mg comp.x 30</t>
        </is>
      </c>
      <c r="E111" s="2" t="n">
        <v>24298.6</v>
      </c>
      <c r="F111" s="2" t="n">
        <v>24920.65</v>
      </c>
      <c r="G111" s="2">
        <f>IFERROR(F111/30,"")</f>
        <v/>
      </c>
      <c r="H111" s="6">
        <f>IFERROR((F111-E111)/E111,"")</f>
        <v/>
      </c>
      <c r="I111" s="6">
        <f>IFERROR((G111-G115)/G115,"")</f>
        <v/>
      </c>
      <c r="J111" s="6">
        <f>IFERROR((G111-G110)/G110,"")</f>
        <v/>
      </c>
      <c r="K111" s="3" t="n">
        <v>143841</v>
      </c>
      <c r="L111" s="6">
        <f>IFERROR(K111/SUM($K$110:$K$145),"")</f>
        <v/>
      </c>
      <c r="M111" s="8" t="n">
        <v>2</v>
      </c>
    </row>
    <row r="112">
      <c r="A112" t="inlineStr">
        <is>
          <t>Bagó</t>
        </is>
      </c>
      <c r="B112" t="inlineStr">
        <is>
          <t>CARVEDIL 25</t>
        </is>
      </c>
      <c r="C112" t="inlineStr">
        <is>
          <t>25 mg</t>
        </is>
      </c>
      <c r="D112" t="inlineStr">
        <is>
          <t>25 mg comp.x 28</t>
        </is>
      </c>
      <c r="E112" s="2" t="n">
        <v>24226.12</v>
      </c>
      <c r="F112" s="2" t="n">
        <v>24846.31</v>
      </c>
      <c r="G112" s="2">
        <f>IFERROR(F112/28,"")</f>
        <v/>
      </c>
      <c r="H112" s="6">
        <f>IFERROR((F112-E112)/E112,"")</f>
        <v/>
      </c>
      <c r="I112" s="6">
        <f>IFERROR((G112-G115)/G115,"")</f>
        <v/>
      </c>
      <c r="J112" s="6">
        <f>IFERROR((G112-G110)/G110,"")</f>
        <v/>
      </c>
      <c r="K112" s="3" t="n">
        <v>115555</v>
      </c>
      <c r="L112" s="6">
        <f>IFERROR(K112/SUM($K$110:$K$145),"")</f>
        <v/>
      </c>
      <c r="M112" s="8" t="n">
        <v>3</v>
      </c>
    </row>
    <row r="113">
      <c r="A113" t="inlineStr">
        <is>
          <t>Casasco</t>
        </is>
      </c>
      <c r="B113" t="inlineStr">
        <is>
          <t>ISOBLOC</t>
        </is>
      </c>
      <c r="C113" t="inlineStr">
        <is>
          <t>25 mg</t>
        </is>
      </c>
      <c r="D113" t="inlineStr">
        <is>
          <t>25 mg comp.x 30</t>
        </is>
      </c>
      <c r="E113" s="2" t="n">
        <v>21966.02</v>
      </c>
      <c r="F113" s="2" t="n">
        <v>22603.03</v>
      </c>
      <c r="G113" s="2">
        <f>IFERROR(F113/30,"")</f>
        <v/>
      </c>
      <c r="H113" s="6">
        <f>IFERROR((F113-E113)/E113,"")</f>
        <v/>
      </c>
      <c r="I113" s="6">
        <f>IFERROR((G113-G115)/G115,"")</f>
        <v/>
      </c>
      <c r="J113" s="6">
        <f>IFERROR((G113-G110)/G110,"")</f>
        <v/>
      </c>
      <c r="K113" s="3" t="n">
        <v>102971</v>
      </c>
      <c r="L113" s="6">
        <f>IFERROR(K113/SUM($K$110:$K$145),"")</f>
        <v/>
      </c>
      <c r="M113" s="8" t="n">
        <v>4</v>
      </c>
    </row>
    <row r="114">
      <c r="A114" t="inlineStr">
        <is>
          <t>Gador</t>
        </is>
      </c>
      <c r="B114" t="inlineStr">
        <is>
          <t>FILTEN</t>
        </is>
      </c>
      <c r="C114" t="inlineStr">
        <is>
          <t>25 mg</t>
        </is>
      </c>
      <c r="D114" t="inlineStr">
        <is>
          <t>25 mg comp.ran.x 60</t>
        </is>
      </c>
      <c r="E114" s="2" t="n">
        <v>37613.94</v>
      </c>
      <c r="F114" s="2" t="n">
        <v>38554.28</v>
      </c>
      <c r="G114" s="2">
        <f>IFERROR(F114/60,"")</f>
        <v/>
      </c>
      <c r="H114" s="6">
        <f>IFERROR((F114-E114)/E114,"")</f>
        <v/>
      </c>
      <c r="I114" s="6">
        <f>IFERROR((G114-G115)/G115,"")</f>
        <v/>
      </c>
      <c r="J114" s="6">
        <f>IFERROR((G114-G110)/G110,"")</f>
        <v/>
      </c>
      <c r="K114" s="3" t="n">
        <v>92214</v>
      </c>
      <c r="L114" s="6">
        <f>IFERROR(K114/SUM($K$110:$K$145),"")</f>
        <v/>
      </c>
      <c r="M114" s="8" t="n">
        <v>5</v>
      </c>
    </row>
    <row r="115">
      <c r="A115" s="9" t="inlineStr">
        <is>
          <t>Siegfried ★ SIE</t>
        </is>
      </c>
      <c r="B115" s="9" t="inlineStr">
        <is>
          <t>DILATREND</t>
        </is>
      </c>
      <c r="C115" s="9" t="inlineStr">
        <is>
          <t>25 mg</t>
        </is>
      </c>
      <c r="D115" s="9" t="inlineStr">
        <is>
          <t>25 mg comp.ran.x 30</t>
        </is>
      </c>
      <c r="E115" s="10" t="n">
        <v>23297.36</v>
      </c>
      <c r="F115" s="10" t="n">
        <v>23926.39</v>
      </c>
      <c r="G115" s="10">
        <f>IFERROR(F115/30,"")</f>
        <v/>
      </c>
      <c r="H115" s="11" t="n"/>
      <c r="I115" s="11" t="n"/>
      <c r="J115" s="11">
        <f>IFERROR((G115-G110)/G110,"")</f>
        <v/>
      </c>
      <c r="K115" s="12" t="n">
        <v>92137</v>
      </c>
      <c r="L115" s="11">
        <f>IFERROR(K115/SUM($K$110:$K$145),"")</f>
        <v/>
      </c>
      <c r="M115" s="13" t="n">
        <v>6</v>
      </c>
    </row>
    <row r="116">
      <c r="A116" t="inlineStr">
        <is>
          <t>Bagó</t>
        </is>
      </c>
      <c r="B116" t="inlineStr">
        <is>
          <t>CARVEDIL 25</t>
        </is>
      </c>
      <c r="C116" t="inlineStr">
        <is>
          <t>25 mg</t>
        </is>
      </c>
      <c r="D116" t="inlineStr">
        <is>
          <t>25 mg comp.x 56</t>
        </is>
      </c>
      <c r="E116" s="2" t="n">
        <v>39101.06</v>
      </c>
      <c r="F116" s="2" t="n">
        <v>40102.04</v>
      </c>
      <c r="G116" s="2">
        <f>IFERROR(F116/56,"")</f>
        <v/>
      </c>
      <c r="H116" s="6">
        <f>IFERROR((F116-E116)/E116,"")</f>
        <v/>
      </c>
      <c r="I116" s="6">
        <f>IFERROR((G116-G115)/G115,"")</f>
        <v/>
      </c>
      <c r="J116" s="6">
        <f>IFERROR((G116-G110)/G110,"")</f>
        <v/>
      </c>
      <c r="K116" s="3" t="n">
        <v>53687</v>
      </c>
      <c r="L116" s="6">
        <f>IFERROR(K116/SUM($K$110:$K$145),"")</f>
        <v/>
      </c>
      <c r="M116" s="8" t="n">
        <v>7</v>
      </c>
    </row>
    <row r="117">
      <c r="A117" t="inlineStr">
        <is>
          <t>Bagó</t>
        </is>
      </c>
      <c r="B117" t="inlineStr">
        <is>
          <t>CARVEDIL 25</t>
        </is>
      </c>
      <c r="C117" t="inlineStr">
        <is>
          <t>25 mg</t>
        </is>
      </c>
      <c r="D117" t="inlineStr">
        <is>
          <t>25 mg comp.x 60</t>
        </is>
      </c>
      <c r="E117" s="2" t="n">
        <v>40112.61</v>
      </c>
      <c r="F117" s="2" t="n">
        <v>41139.49</v>
      </c>
      <c r="G117" s="2">
        <f>IFERROR(F117/60,"")</f>
        <v/>
      </c>
      <c r="H117" s="6">
        <f>IFERROR((F117-E117)/E117,"")</f>
        <v/>
      </c>
      <c r="I117" s="6">
        <f>IFERROR((G117-G115)/G115,"")</f>
        <v/>
      </c>
      <c r="J117" s="6">
        <f>IFERROR((G117-G110)/G110,"")</f>
        <v/>
      </c>
      <c r="K117" s="3" t="n">
        <v>45805</v>
      </c>
      <c r="L117" s="6">
        <f>IFERROR(K117/SUM($K$110:$K$145),"")</f>
        <v/>
      </c>
      <c r="M117" s="8" t="n">
        <v>8</v>
      </c>
    </row>
    <row r="118">
      <c r="A118" t="inlineStr">
        <is>
          <t>Elea</t>
        </is>
      </c>
      <c r="B118" t="inlineStr">
        <is>
          <t>VERATEN</t>
        </is>
      </c>
      <c r="C118" t="inlineStr">
        <is>
          <t>25 mg</t>
        </is>
      </c>
      <c r="D118" t="inlineStr">
        <is>
          <t>25 mg comp.x 30</t>
        </is>
      </c>
      <c r="E118" s="2" t="n">
        <v>24982.62</v>
      </c>
      <c r="F118" s="2" t="n">
        <v>26503.96</v>
      </c>
      <c r="G118" s="2">
        <f>IFERROR(F118/30,"")</f>
        <v/>
      </c>
      <c r="H118" s="6">
        <f>IFERROR((F118-E118)/E118,"")</f>
        <v/>
      </c>
      <c r="I118" s="6">
        <f>IFERROR((G118-G115)/G115,"")</f>
        <v/>
      </c>
      <c r="J118" s="6">
        <f>IFERROR((G118-G110)/G110,"")</f>
        <v/>
      </c>
      <c r="K118" s="3" t="n">
        <v>41115</v>
      </c>
      <c r="L118" s="6">
        <f>IFERROR(K118/SUM($K$110:$K$145),"")</f>
        <v/>
      </c>
      <c r="M118" s="8" t="n">
        <v>9</v>
      </c>
    </row>
    <row r="119">
      <c r="A119" t="inlineStr">
        <is>
          <t>Baliarda</t>
        </is>
      </c>
      <c r="B119" t="inlineStr">
        <is>
          <t>BIDECAR</t>
        </is>
      </c>
      <c r="C119" t="inlineStr">
        <is>
          <t>25 mg</t>
        </is>
      </c>
      <c r="D119" t="inlineStr">
        <is>
          <t>25 mg comp.ran.x 28</t>
        </is>
      </c>
      <c r="E119" s="2" t="n">
        <v>22805.29</v>
      </c>
      <c r="F119" s="2" t="n">
        <v>23466.64</v>
      </c>
      <c r="G119" s="2">
        <f>IFERROR(F119/28,"")</f>
        <v/>
      </c>
      <c r="H119" s="6">
        <f>IFERROR((F119-E119)/E119,"")</f>
        <v/>
      </c>
      <c r="I119" s="6">
        <f>IFERROR((G119-G115)/G115,"")</f>
        <v/>
      </c>
      <c r="J119" s="6">
        <f>IFERROR((G119-G110)/G110,"")</f>
        <v/>
      </c>
      <c r="K119" s="3" t="n">
        <v>40602</v>
      </c>
      <c r="L119" s="6">
        <f>IFERROR(K119/SUM($K$110:$K$145),"")</f>
        <v/>
      </c>
      <c r="M119" s="8" t="n">
        <v>10</v>
      </c>
    </row>
    <row r="120">
      <c r="A120" t="inlineStr">
        <is>
          <t>Casasco</t>
        </is>
      </c>
      <c r="B120" t="inlineStr">
        <is>
          <t>ISOBLOC</t>
        </is>
      </c>
      <c r="C120" t="inlineStr">
        <is>
          <t>25 mg</t>
        </is>
      </c>
      <c r="D120" t="inlineStr">
        <is>
          <t>25 mg comp.x 60</t>
        </is>
      </c>
      <c r="E120" s="2" t="n">
        <v>35419.9</v>
      </c>
      <c r="F120" s="2" t="n">
        <v>36447.07</v>
      </c>
      <c r="G120" s="2">
        <f>IFERROR(F120/60,"")</f>
        <v/>
      </c>
      <c r="H120" s="6">
        <f>IFERROR((F120-E120)/E120,"")</f>
        <v/>
      </c>
      <c r="I120" s="6">
        <f>IFERROR((G120-G115)/G115,"")</f>
        <v/>
      </c>
      <c r="J120" s="6">
        <f>IFERROR((G120-G110)/G110,"")</f>
        <v/>
      </c>
      <c r="K120" s="3" t="n">
        <v>37490</v>
      </c>
      <c r="L120" s="6">
        <f>IFERROR(K120/SUM($K$110:$K$145),"")</f>
        <v/>
      </c>
      <c r="M120" s="8" t="n">
        <v>11</v>
      </c>
    </row>
    <row r="121">
      <c r="A121" t="inlineStr">
        <is>
          <t>Baliarda</t>
        </is>
      </c>
      <c r="B121" t="inlineStr">
        <is>
          <t>BIDECAR</t>
        </is>
      </c>
      <c r="C121" t="inlineStr">
        <is>
          <t>25 mg</t>
        </is>
      </c>
      <c r="D121" t="inlineStr">
        <is>
          <t>25 mg comp.ran.x 56</t>
        </is>
      </c>
      <c r="E121" s="2" t="n">
        <v>36788.31</v>
      </c>
      <c r="F121" s="2" t="n">
        <v>37855.17</v>
      </c>
      <c r="G121" s="2">
        <f>IFERROR(F121/56,"")</f>
        <v/>
      </c>
      <c r="H121" s="6">
        <f>IFERROR((F121-E121)/E121,"")</f>
        <v/>
      </c>
      <c r="I121" s="6">
        <f>IFERROR((G121-G115)/G115,"")</f>
        <v/>
      </c>
      <c r="J121" s="6">
        <f>IFERROR((G121-G110)/G110,"")</f>
        <v/>
      </c>
      <c r="K121" s="3" t="n">
        <v>23940</v>
      </c>
      <c r="L121" s="6">
        <f>IFERROR(K121/SUM($K$110:$K$145),"")</f>
        <v/>
      </c>
      <c r="M121" s="8" t="n">
        <v>12</v>
      </c>
    </row>
    <row r="122">
      <c r="A122" t="inlineStr">
        <is>
          <t>Lepetit</t>
        </is>
      </c>
      <c r="B122" t="inlineStr">
        <is>
          <t>VEDILEP 25</t>
        </is>
      </c>
      <c r="C122" t="inlineStr">
        <is>
          <t>25 mg</t>
        </is>
      </c>
      <c r="D122" t="inlineStr">
        <is>
          <t>25 mg comp.trirran.x 28</t>
        </is>
      </c>
      <c r="E122" s="2" t="n">
        <v>21250</v>
      </c>
      <c r="F122" s="2" t="n">
        <v>22360</v>
      </c>
      <c r="G122" s="2">
        <f>IFERROR(F122/28,"")</f>
        <v/>
      </c>
      <c r="H122" s="6">
        <f>IFERROR((F122-E122)/E122,"")</f>
        <v/>
      </c>
      <c r="I122" s="6">
        <f>IFERROR((G122-G115)/G115,"")</f>
        <v/>
      </c>
      <c r="J122" s="6">
        <f>IFERROR((G122-G110)/G110,"")</f>
        <v/>
      </c>
      <c r="K122" s="3" t="n">
        <v>13137</v>
      </c>
      <c r="L122" s="6">
        <f>IFERROR(K122/SUM($K$110:$K$145),"")</f>
        <v/>
      </c>
      <c r="M122" s="8" t="n">
        <v>13</v>
      </c>
    </row>
    <row r="123">
      <c r="A123" t="inlineStr">
        <is>
          <t>Baliarda</t>
        </is>
      </c>
      <c r="B123" t="inlineStr">
        <is>
          <t>BIDECAR</t>
        </is>
      </c>
      <c r="C123" t="inlineStr">
        <is>
          <t>25 mg</t>
        </is>
      </c>
      <c r="D123" t="inlineStr">
        <is>
          <t>25 mg comp.ran.x 30</t>
        </is>
      </c>
      <c r="E123" s="2" t="n">
        <v>22442.04</v>
      </c>
      <c r="F123" s="2" t="n">
        <v>23092.86</v>
      </c>
      <c r="G123" s="2">
        <f>IFERROR(F123/30,"")</f>
        <v/>
      </c>
      <c r="H123" s="6">
        <f>IFERROR((F123-E123)/E123,"")</f>
        <v/>
      </c>
      <c r="I123" s="6">
        <f>IFERROR((G123-G115)/G115,"")</f>
        <v/>
      </c>
      <c r="J123" s="6">
        <f>IFERROR((G123-G110)/G110,"")</f>
        <v/>
      </c>
      <c r="K123" s="3" t="n">
        <v>12517</v>
      </c>
      <c r="L123" s="6">
        <f>IFERROR(K123/SUM($K$110:$K$145),"")</f>
        <v/>
      </c>
      <c r="M123" s="8" t="n">
        <v>14</v>
      </c>
    </row>
    <row r="124">
      <c r="A124" t="inlineStr">
        <is>
          <t>Richet</t>
        </is>
      </c>
      <c r="B124" t="inlineStr">
        <is>
          <t>CARVEDILOL RICHET</t>
        </is>
      </c>
      <c r="C124" t="inlineStr">
        <is>
          <t>25 mg</t>
        </is>
      </c>
      <c r="D124" t="inlineStr">
        <is>
          <t>25 mg comp.x 28</t>
        </is>
      </c>
      <c r="E124" s="2" t="n">
        <v>17852.68</v>
      </c>
      <c r="F124" s="2" t="n">
        <v>18209.73</v>
      </c>
      <c r="G124" s="2">
        <f>IFERROR(F124/28,"")</f>
        <v/>
      </c>
      <c r="H124" s="6">
        <f>IFERROR((F124-E124)/E124,"")</f>
        <v/>
      </c>
      <c r="I124" s="6">
        <f>IFERROR((G124-G115)/G115,"")</f>
        <v/>
      </c>
      <c r="J124" s="6">
        <f>IFERROR((G124-G110)/G110,"")</f>
        <v/>
      </c>
      <c r="K124" s="3" t="n">
        <v>7036</v>
      </c>
      <c r="L124" s="6">
        <f>IFERROR(K124/SUM($K$110:$K$145),"")</f>
        <v/>
      </c>
      <c r="M124" s="8" t="n">
        <v>15</v>
      </c>
    </row>
    <row r="125">
      <c r="A125" t="inlineStr">
        <is>
          <t>Baliarda</t>
        </is>
      </c>
      <c r="B125" t="inlineStr">
        <is>
          <t>BIDECAR</t>
        </is>
      </c>
      <c r="C125" t="inlineStr">
        <is>
          <t>25 mg</t>
        </is>
      </c>
      <c r="D125" t="inlineStr">
        <is>
          <t>25 mg comp.ran.x 60</t>
        </is>
      </c>
      <c r="E125" s="2" t="n">
        <v>36379.46</v>
      </c>
      <c r="F125" s="2" t="n">
        <v>37434.46</v>
      </c>
      <c r="G125" s="2">
        <f>IFERROR(F125/60,"")</f>
        <v/>
      </c>
      <c r="H125" s="6">
        <f>IFERROR((F125-E125)/E125,"")</f>
        <v/>
      </c>
      <c r="I125" s="6">
        <f>IFERROR((G125-G115)/G115,"")</f>
        <v/>
      </c>
      <c r="J125" s="6">
        <f>IFERROR((G125-G110)/G110,"")</f>
        <v/>
      </c>
      <c r="K125" s="3" t="n">
        <v>5856</v>
      </c>
      <c r="L125" s="6">
        <f>IFERROR(K125/SUM($K$110:$K$145),"")</f>
        <v/>
      </c>
      <c r="M125" s="8" t="n">
        <v>16</v>
      </c>
    </row>
    <row r="126">
      <c r="A126" t="inlineStr">
        <is>
          <t>Richet</t>
        </is>
      </c>
      <c r="B126" t="inlineStr">
        <is>
          <t>CARVEDILOL RICHET</t>
        </is>
      </c>
      <c r="C126" t="inlineStr">
        <is>
          <t>25 mg</t>
        </is>
      </c>
      <c r="D126" t="inlineStr">
        <is>
          <t>25 mg comp.x 30</t>
        </is>
      </c>
      <c r="E126" s="2" t="n">
        <v>18685.76</v>
      </c>
      <c r="F126" s="2" t="n">
        <v>19059.48</v>
      </c>
      <c r="G126" s="2">
        <f>IFERROR(F126/30,"")</f>
        <v/>
      </c>
      <c r="H126" s="6">
        <f>IFERROR((F126-E126)/E126,"")</f>
        <v/>
      </c>
      <c r="I126" s="6">
        <f>IFERROR((G126-G115)/G115,"")</f>
        <v/>
      </c>
      <c r="J126" s="6">
        <f>IFERROR((G126-G110)/G110,"")</f>
        <v/>
      </c>
      <c r="K126" s="3" t="n">
        <v>3325</v>
      </c>
      <c r="L126" s="6">
        <f>IFERROR(K126/SUM($K$110:$K$145),"")</f>
        <v/>
      </c>
      <c r="M126" s="8" t="n">
        <v>17</v>
      </c>
    </row>
    <row r="127">
      <c r="A127" t="inlineStr">
        <is>
          <t>Denver Farma</t>
        </is>
      </c>
      <c r="B127" t="inlineStr">
        <is>
          <t>CARDIONORM</t>
        </is>
      </c>
      <c r="C127" t="inlineStr">
        <is>
          <t>25 mg</t>
        </is>
      </c>
      <c r="D127" t="inlineStr">
        <is>
          <t>25 mg comp.x 28</t>
        </is>
      </c>
      <c r="E127" s="2" t="n">
        <v>17881.26</v>
      </c>
      <c r="F127" s="2" t="n">
        <v>18038.41</v>
      </c>
      <c r="G127" s="2">
        <f>IFERROR(F127/28,"")</f>
        <v/>
      </c>
      <c r="H127" s="6">
        <f>IFERROR((F127-E127)/E127,"")</f>
        <v/>
      </c>
      <c r="I127" s="6">
        <f>IFERROR((G127-G115)/G115,"")</f>
        <v/>
      </c>
      <c r="J127" s="6">
        <f>IFERROR((G127-G110)/G110,"")</f>
        <v/>
      </c>
      <c r="K127" s="3" t="n">
        <v>3081</v>
      </c>
      <c r="L127" s="6">
        <f>IFERROR(K127/SUM($K$110:$K$145),"")</f>
        <v/>
      </c>
      <c r="M127" s="8" t="n">
        <v>18</v>
      </c>
    </row>
    <row r="128">
      <c r="A128" t="inlineStr">
        <is>
          <t>Rospaw</t>
        </is>
      </c>
      <c r="B128" t="inlineStr">
        <is>
          <t>CARVIPAW</t>
        </is>
      </c>
      <c r="C128" t="inlineStr">
        <is>
          <t>25 mg</t>
        </is>
      </c>
      <c r="D128" t="inlineStr">
        <is>
          <t>25 mg comp.x 30</t>
        </is>
      </c>
      <c r="E128" s="2" t="n">
        <v>18575.91</v>
      </c>
      <c r="F128" s="2" t="n">
        <v>19114.61</v>
      </c>
      <c r="G128" s="2">
        <f>IFERROR(F128/30,"")</f>
        <v/>
      </c>
      <c r="H128" s="6">
        <f>IFERROR((F128-E128)/E128,"")</f>
        <v/>
      </c>
      <c r="I128" s="6">
        <f>IFERROR((G128-G115)/G115,"")</f>
        <v/>
      </c>
      <c r="J128" s="6">
        <f>IFERROR((G128-G110)/G110,"")</f>
        <v/>
      </c>
      <c r="K128" s="3" t="n">
        <v>2553</v>
      </c>
      <c r="L128" s="6">
        <f>IFERROR(K128/SUM($K$110:$K$145),"")</f>
        <v/>
      </c>
      <c r="M128" s="8" t="n">
        <v>19</v>
      </c>
    </row>
    <row r="129">
      <c r="A129" t="inlineStr">
        <is>
          <t>Richmond</t>
        </is>
      </c>
      <c r="B129" t="inlineStr">
        <is>
          <t>VICARDOL</t>
        </is>
      </c>
      <c r="C129" t="inlineStr">
        <is>
          <t>25 mg</t>
        </is>
      </c>
      <c r="D129" t="inlineStr">
        <is>
          <t>25 mg comp.x 28</t>
        </is>
      </c>
      <c r="E129" s="2" t="n">
        <v>21301.68</v>
      </c>
      <c r="F129" s="2" t="n">
        <v>22686.6</v>
      </c>
      <c r="G129" s="2">
        <f>IFERROR(F129/28,"")</f>
        <v/>
      </c>
      <c r="H129" s="6">
        <f>IFERROR((F129-E129)/E129,"")</f>
        <v/>
      </c>
      <c r="I129" s="6">
        <f>IFERROR((G129-G115)/G115,"")</f>
        <v/>
      </c>
      <c r="J129" s="6">
        <f>IFERROR((G129-G110)/G110,"")</f>
        <v/>
      </c>
      <c r="K129" s="3" t="n">
        <v>2269</v>
      </c>
      <c r="L129" s="6">
        <f>IFERROR(K129/SUM($K$110:$K$145),"")</f>
        <v/>
      </c>
      <c r="M129" s="8" t="n">
        <v>20</v>
      </c>
    </row>
    <row r="130">
      <c r="A130" t="inlineStr">
        <is>
          <t>Richet</t>
        </is>
      </c>
      <c r="B130" t="inlineStr">
        <is>
          <t>CARVEDILOL RICHET</t>
        </is>
      </c>
      <c r="C130" t="inlineStr">
        <is>
          <t>25 mg</t>
        </is>
      </c>
      <c r="D130" t="inlineStr">
        <is>
          <t>25 mg comp.x 56</t>
        </is>
      </c>
      <c r="E130" s="2" t="n">
        <v>32145.35</v>
      </c>
      <c r="F130" s="2" t="n">
        <v>32788.26</v>
      </c>
      <c r="G130" s="2">
        <f>IFERROR(F130/56,"")</f>
        <v/>
      </c>
      <c r="H130" s="6">
        <f>IFERROR((F130-E130)/E130,"")</f>
        <v/>
      </c>
      <c r="I130" s="6">
        <f>IFERROR((G130-G115)/G115,"")</f>
        <v/>
      </c>
      <c r="J130" s="6">
        <f>IFERROR((G130-G110)/G110,"")</f>
        <v/>
      </c>
      <c r="K130" s="3" t="n">
        <v>1672</v>
      </c>
      <c r="L130" s="6">
        <f>IFERROR(K130/SUM($K$110:$K$145),"")</f>
        <v/>
      </c>
      <c r="M130" s="8" t="n">
        <v>21</v>
      </c>
    </row>
    <row r="131">
      <c r="A131" t="inlineStr">
        <is>
          <t>Lazar</t>
        </is>
      </c>
      <c r="B131" t="inlineStr">
        <is>
          <t>CORUBIN</t>
        </is>
      </c>
      <c r="C131" t="inlineStr">
        <is>
          <t>25 mg</t>
        </is>
      </c>
      <c r="D131" t="inlineStr">
        <is>
          <t>25 mg comp.x 28</t>
        </is>
      </c>
      <c r="E131" s="2" t="n">
        <v>19997.05</v>
      </c>
      <c r="F131" s="2" t="n">
        <v>21276.58</v>
      </c>
      <c r="G131" s="2">
        <f>IFERROR(F131/28,"")</f>
        <v/>
      </c>
      <c r="H131" s="6">
        <f>IFERROR((F131-E131)/E131,"")</f>
        <v/>
      </c>
      <c r="I131" s="6">
        <f>IFERROR((G131-G115)/G115,"")</f>
        <v/>
      </c>
      <c r="J131" s="6">
        <f>IFERROR((G131-G110)/G110,"")</f>
        <v/>
      </c>
      <c r="K131" s="3" t="n">
        <v>1577</v>
      </c>
      <c r="L131" s="6">
        <f>IFERROR(K131/SUM($K$110:$K$145),"")</f>
        <v/>
      </c>
      <c r="M131" s="8" t="n">
        <v>22</v>
      </c>
    </row>
    <row r="132">
      <c r="A132" t="inlineStr">
        <is>
          <t>Géminis Farmacéutica</t>
        </is>
      </c>
      <c r="B132" t="inlineStr">
        <is>
          <t>CARVICORD</t>
        </is>
      </c>
      <c r="C132" t="inlineStr">
        <is>
          <t>25 mg</t>
        </is>
      </c>
      <c r="D132" t="inlineStr">
        <is>
          <t>25 mg comp.ran.x 30</t>
        </is>
      </c>
      <c r="E132" s="2" t="n">
        <v>19875.76</v>
      </c>
      <c r="F132" s="2" t="n">
        <v>20452.16</v>
      </c>
      <c r="G132" s="2">
        <f>IFERROR(F132/30,"")</f>
        <v/>
      </c>
      <c r="H132" s="6">
        <f>IFERROR((F132-E132)/E132,"")</f>
        <v/>
      </c>
      <c r="I132" s="6">
        <f>IFERROR((G132-G115)/G115,"")</f>
        <v/>
      </c>
      <c r="J132" s="6">
        <f>IFERROR((G132-G110)/G110,"")</f>
        <v/>
      </c>
      <c r="K132" s="3" t="n">
        <v>1276</v>
      </c>
      <c r="L132" s="6">
        <f>IFERROR(K132/SUM($K$110:$K$145),"")</f>
        <v/>
      </c>
      <c r="M132" s="8" t="n">
        <v>23</v>
      </c>
    </row>
    <row r="133">
      <c r="A133" t="inlineStr">
        <is>
          <t>Microsules Arg.</t>
        </is>
      </c>
      <c r="B133" t="inlineStr">
        <is>
          <t>ENTARSOL 25</t>
        </is>
      </c>
      <c r="C133" t="inlineStr">
        <is>
          <t>25 mg</t>
        </is>
      </c>
      <c r="D133" t="inlineStr">
        <is>
          <t>25 mg comp.x 28</t>
        </is>
      </c>
      <c r="E133" s="2" t="n">
        <v>18172.65</v>
      </c>
      <c r="F133" s="2" t="n">
        <v>18172.65</v>
      </c>
      <c r="G133" s="2">
        <f>IFERROR(F133/28,"")</f>
        <v/>
      </c>
      <c r="H133" s="6">
        <f>IFERROR((F133-E133)/E133,"")</f>
        <v/>
      </c>
      <c r="I133" s="6">
        <f>IFERROR((G133-G115)/G115,"")</f>
        <v/>
      </c>
      <c r="J133" s="6">
        <f>IFERROR((G133-G110)/G110,"")</f>
        <v/>
      </c>
      <c r="K133" s="3" t="n">
        <v>597</v>
      </c>
      <c r="L133" s="6">
        <f>IFERROR(K133/SUM($K$110:$K$145),"")</f>
        <v/>
      </c>
      <c r="M133" s="8" t="n">
        <v>24</v>
      </c>
    </row>
    <row r="134">
      <c r="A134" t="inlineStr">
        <is>
          <t>Vannier</t>
        </is>
      </c>
      <c r="B134" t="inlineStr">
        <is>
          <t>CARVEDILOL VANNIER 25</t>
        </is>
      </c>
      <c r="C134" t="inlineStr">
        <is>
          <t>25 mg</t>
        </is>
      </c>
      <c r="D134" t="inlineStr">
        <is>
          <t>25 mg comp.x 30</t>
        </is>
      </c>
      <c r="E134" s="2" t="n">
        <v>17502.85</v>
      </c>
      <c r="F134" s="2" t="n">
        <v>18301.28</v>
      </c>
      <c r="G134" s="2">
        <f>IFERROR(F134/30,"")</f>
        <v/>
      </c>
      <c r="H134" s="6">
        <f>IFERROR((F134-E134)/E134,"")</f>
        <v/>
      </c>
      <c r="I134" s="6">
        <f>IFERROR((G134-G115)/G115,"")</f>
        <v/>
      </c>
      <c r="J134" s="6">
        <f>IFERROR((G134-G110)/G110,"")</f>
        <v/>
      </c>
      <c r="K134" s="3" t="n">
        <v>456</v>
      </c>
      <c r="L134" s="6">
        <f>IFERROR(K134/SUM($K$110:$K$145),"")</f>
        <v/>
      </c>
      <c r="M134" s="8" t="n">
        <v>25</v>
      </c>
    </row>
    <row r="135">
      <c r="A135" t="inlineStr">
        <is>
          <t>Craveri</t>
        </is>
      </c>
      <c r="B135" t="inlineStr">
        <is>
          <t>ANTIBLOC 25</t>
        </is>
      </c>
      <c r="C135" t="inlineStr">
        <is>
          <t>25 mg</t>
        </is>
      </c>
      <c r="D135" t="inlineStr">
        <is>
          <t>25 mg comp.x 30</t>
        </is>
      </c>
      <c r="E135" s="2" t="n">
        <v>22650.93</v>
      </c>
      <c r="F135" s="2" t="n">
        <v>24381.46</v>
      </c>
      <c r="G135" s="2">
        <f>IFERROR(F135/30,"")</f>
        <v/>
      </c>
      <c r="H135" s="6">
        <f>IFERROR((F135-E135)/E135,"")</f>
        <v/>
      </c>
      <c r="I135" s="6">
        <f>IFERROR((G135-G115)/G115,"")</f>
        <v/>
      </c>
      <c r="J135" s="6">
        <f>IFERROR((G135-G110)/G110,"")</f>
        <v/>
      </c>
      <c r="K135" s="3" t="n">
        <v>326</v>
      </c>
      <c r="L135" s="6">
        <f>IFERROR(K135/SUM($K$110:$K$145),"")</f>
        <v/>
      </c>
      <c r="M135" s="8" t="n">
        <v>26</v>
      </c>
    </row>
    <row r="136">
      <c r="A136" t="inlineStr">
        <is>
          <t>Biotenk</t>
        </is>
      </c>
      <c r="B136" t="inlineStr">
        <is>
          <t>CARVEDILOL BIOTENK</t>
        </is>
      </c>
      <c r="C136" t="inlineStr">
        <is>
          <t>25 mg</t>
        </is>
      </c>
      <c r="D136" t="inlineStr">
        <is>
          <t>25 mg comp.x 28</t>
        </is>
      </c>
      <c r="E136" s="2" t="n">
        <v>20068.87</v>
      </c>
      <c r="F136" s="2" t="n">
        <v>21497.78</v>
      </c>
      <c r="G136" s="2">
        <f>IFERROR(F136/28,"")</f>
        <v/>
      </c>
      <c r="H136" s="6">
        <f>IFERROR((F136-E136)/E136,"")</f>
        <v/>
      </c>
      <c r="I136" s="6">
        <f>IFERROR((G136-G115)/G115,"")</f>
        <v/>
      </c>
      <c r="J136" s="6">
        <f>IFERROR((G136-G110)/G110,"")</f>
        <v/>
      </c>
      <c r="K136" s="3" t="n">
        <v>246</v>
      </c>
      <c r="L136" s="6">
        <f>IFERROR(K136/SUM($K$110:$K$145),"")</f>
        <v/>
      </c>
      <c r="M136" s="8" t="n">
        <v>27</v>
      </c>
    </row>
    <row r="137">
      <c r="A137" t="inlineStr">
        <is>
          <t>Microsules Arg.</t>
        </is>
      </c>
      <c r="B137" t="inlineStr">
        <is>
          <t>ENTARSOL 25</t>
        </is>
      </c>
      <c r="C137" t="inlineStr">
        <is>
          <t>25 mg</t>
        </is>
      </c>
      <c r="D137" t="inlineStr">
        <is>
          <t>25 mg comp.rec.x 30</t>
        </is>
      </c>
      <c r="E137" s="2" t="n">
        <v>22415.36</v>
      </c>
      <c r="F137" s="2" t="n">
        <v>22998.16</v>
      </c>
      <c r="G137" s="2">
        <f>IFERROR(F137/30,"")</f>
        <v/>
      </c>
      <c r="H137" s="6">
        <f>IFERROR((F137-E137)/E137,"")</f>
        <v/>
      </c>
      <c r="I137" s="6">
        <f>IFERROR((G137-G115)/G115,"")</f>
        <v/>
      </c>
      <c r="J137" s="6">
        <f>IFERROR((G137-G110)/G110,"")</f>
        <v/>
      </c>
      <c r="K137" s="3" t="n">
        <v>167</v>
      </c>
      <c r="L137" s="6">
        <f>IFERROR(K137/SUM($K$110:$K$145),"")</f>
        <v/>
      </c>
      <c r="M137" s="8" t="n">
        <v>28</v>
      </c>
    </row>
    <row r="138">
      <c r="A138" t="inlineStr">
        <is>
          <t>Richet</t>
        </is>
      </c>
      <c r="B138" t="inlineStr">
        <is>
          <t>CARVEDILOL RICHET</t>
        </is>
      </c>
      <c r="C138" t="inlineStr">
        <is>
          <t>25 mg</t>
        </is>
      </c>
      <c r="D138" t="inlineStr">
        <is>
          <t>25 mg comp.x 60</t>
        </is>
      </c>
      <c r="E138" s="2" t="n">
        <v>32447.43</v>
      </c>
      <c r="F138" s="2" t="n">
        <v>33096.38</v>
      </c>
      <c r="G138" s="2">
        <f>IFERROR(F138/60,"")</f>
        <v/>
      </c>
      <c r="H138" s="6">
        <f>IFERROR((F138-E138)/E138,"")</f>
        <v/>
      </c>
      <c r="I138" s="6">
        <f>IFERROR((G138-G115)/G115,"")</f>
        <v/>
      </c>
      <c r="J138" s="6">
        <f>IFERROR((G138-G110)/G110,"")</f>
        <v/>
      </c>
      <c r="K138" s="3" t="n">
        <v>61</v>
      </c>
      <c r="L138" s="6">
        <f>IFERROR(K138/SUM($K$110:$K$145),"")</f>
        <v/>
      </c>
      <c r="M138" s="8" t="n">
        <v>29</v>
      </c>
    </row>
    <row r="139">
      <c r="A139" t="inlineStr">
        <is>
          <t>Géminis Farmacéutica</t>
        </is>
      </c>
      <c r="B139" t="inlineStr">
        <is>
          <t>CARVICORD</t>
        </is>
      </c>
      <c r="C139" t="inlineStr">
        <is>
          <t>25 mg</t>
        </is>
      </c>
      <c r="D139" t="inlineStr">
        <is>
          <t>25 mg comp.x 60</t>
        </is>
      </c>
      <c r="E139" s="2" t="n">
        <v>34238.2</v>
      </c>
      <c r="F139" s="2" t="n">
        <v>35231.11</v>
      </c>
      <c r="G139" s="2">
        <f>IFERROR(F139/60,"")</f>
        <v/>
      </c>
      <c r="H139" s="6">
        <f>IFERROR((F139-E139)/E139,"")</f>
        <v/>
      </c>
      <c r="I139" s="6">
        <f>IFERROR((G139-G115)/G115,"")</f>
        <v/>
      </c>
      <c r="J139" s="6">
        <f>IFERROR((G139-G110)/G110,"")</f>
        <v/>
      </c>
      <c r="K139" s="3" t="n">
        <v>53</v>
      </c>
      <c r="L139" s="6">
        <f>IFERROR(K139/SUM($K$110:$K$145),"")</f>
        <v/>
      </c>
      <c r="M139" s="8" t="n">
        <v>30</v>
      </c>
    </row>
    <row r="140">
      <c r="A140" t="inlineStr">
        <is>
          <t>Klonal</t>
        </is>
      </c>
      <c r="B140" t="inlineStr">
        <is>
          <t>HIPOTEN KLONAL</t>
        </is>
      </c>
      <c r="C140" t="inlineStr">
        <is>
          <t>25 mg</t>
        </is>
      </c>
      <c r="D140" t="inlineStr">
        <is>
          <t>25 mg comp.ran.x 30</t>
        </is>
      </c>
      <c r="E140" s="2" t="n">
        <v>17350.51</v>
      </c>
      <c r="F140" s="2" t="n">
        <v>19953.09</v>
      </c>
      <c r="G140" s="2">
        <f>IFERROR(F140/30,"")</f>
        <v/>
      </c>
      <c r="H140" s="6">
        <f>IFERROR((F140-E140)/E140,"")</f>
        <v/>
      </c>
      <c r="I140" s="6">
        <f>IFERROR((G140-G115)/G115,"")</f>
        <v/>
      </c>
      <c r="J140" s="6">
        <f>IFERROR((G140-G110)/G110,"")</f>
        <v/>
      </c>
      <c r="K140" s="3" t="n">
        <v>17</v>
      </c>
      <c r="L140" s="6">
        <f>IFERROR(K140/SUM($K$110:$K$145),"")</f>
        <v/>
      </c>
      <c r="M140" s="8" t="n">
        <v>31</v>
      </c>
    </row>
    <row r="141">
      <c r="A141" t="inlineStr">
        <is>
          <t>Vannier</t>
        </is>
      </c>
      <c r="B141" t="inlineStr">
        <is>
          <t>CARVEDILOL VANNIER 25</t>
        </is>
      </c>
      <c r="C141" t="inlineStr">
        <is>
          <t>25 mg</t>
        </is>
      </c>
      <c r="D141" t="inlineStr">
        <is>
          <t>25 mg comp.x 60</t>
        </is>
      </c>
      <c r="E141" s="2" t="n">
        <v>20158.52</v>
      </c>
      <c r="F141" s="2" t="n">
        <v>20158.52</v>
      </c>
      <c r="G141" s="2">
        <f>IFERROR(F141/60,"")</f>
        <v/>
      </c>
      <c r="H141" s="6">
        <f>IFERROR((F141-E141)/E141,"")</f>
        <v/>
      </c>
      <c r="I141" s="6">
        <f>IFERROR((G141-G115)/G115,"")</f>
        <v/>
      </c>
      <c r="J141" s="6">
        <f>IFERROR((G141-G110)/G110,"")</f>
        <v/>
      </c>
      <c r="K141" s="3" t="n">
        <v>4</v>
      </c>
      <c r="L141" s="6">
        <f>IFERROR(K141/SUM($K$110:$K$145),"")</f>
        <v/>
      </c>
      <c r="M141" s="8" t="n">
        <v>32</v>
      </c>
    </row>
    <row r="142">
      <c r="A142" t="inlineStr">
        <is>
          <t>Laboratorios Bernabó</t>
        </is>
      </c>
      <c r="B142" t="inlineStr">
        <is>
          <t>CORAFEN</t>
        </is>
      </c>
      <c r="C142" t="inlineStr">
        <is>
          <t>25 mg</t>
        </is>
      </c>
      <c r="D142" t="inlineStr">
        <is>
          <t>25 mg comp.ran.x 28</t>
        </is>
      </c>
      <c r="E142" s="2" t="n">
        <v>18152.33</v>
      </c>
      <c r="F142" s="2" t="n">
        <v>18152.33</v>
      </c>
      <c r="G142" s="2">
        <f>IFERROR(F142/28,"")</f>
        <v/>
      </c>
      <c r="H142" s="6">
        <f>IFERROR((F142-E142)/E142,"")</f>
        <v/>
      </c>
      <c r="I142" s="6">
        <f>IFERROR((G142-G115)/G115,"")</f>
        <v/>
      </c>
      <c r="J142" s="6">
        <f>IFERROR((G142-G110)/G110,"")</f>
        <v/>
      </c>
      <c r="K142" s="3" t="n"/>
      <c r="L142" s="6">
        <f>IFERROR(K142/SUM($K$110:$K$145),"")</f>
        <v/>
      </c>
      <c r="M142" s="8" t="n">
        <v>33</v>
      </c>
    </row>
    <row r="143">
      <c r="A143" t="inlineStr">
        <is>
          <t>Lafedar</t>
        </is>
      </c>
      <c r="B143" t="inlineStr">
        <is>
          <t>KOLLOSTERIL</t>
        </is>
      </c>
      <c r="C143" t="inlineStr">
        <is>
          <t>25 mg</t>
        </is>
      </c>
      <c r="D143" t="inlineStr">
        <is>
          <t>25 mg comp.x 28</t>
        </is>
      </c>
      <c r="E143" s="2" t="n">
        <v>16152.48</v>
      </c>
      <c r="F143" s="2" t="n">
        <v>17186.01</v>
      </c>
      <c r="G143" s="2">
        <f>IFERROR(F143/28,"")</f>
        <v/>
      </c>
      <c r="H143" s="6">
        <f>IFERROR((F143-E143)/E143,"")</f>
        <v/>
      </c>
      <c r="I143" s="6">
        <f>IFERROR((G143-G115)/G115,"")</f>
        <v/>
      </c>
      <c r="J143" s="6">
        <f>IFERROR((G143-G110)/G110,"")</f>
        <v/>
      </c>
      <c r="K143" s="3" t="n"/>
      <c r="L143" s="6">
        <f>IFERROR(K143/SUM($K$110:$K$145),"")</f>
        <v/>
      </c>
      <c r="M143" s="8" t="n">
        <v>34</v>
      </c>
    </row>
    <row r="144">
      <c r="A144" t="inlineStr">
        <is>
          <t>Savant Generic</t>
        </is>
      </c>
      <c r="B144" t="inlineStr">
        <is>
          <t>CARTIATO</t>
        </is>
      </c>
      <c r="C144" t="inlineStr">
        <is>
          <t>25 mg</t>
        </is>
      </c>
      <c r="D144" t="inlineStr">
        <is>
          <t>25 mg comp.x 30</t>
        </is>
      </c>
      <c r="E144" s="2" t="n">
        <v>7649.59</v>
      </c>
      <c r="F144" s="2" t="n">
        <v>7649.59</v>
      </c>
      <c r="G144" s="2">
        <f>IFERROR(F144/30,"")</f>
        <v/>
      </c>
      <c r="H144" s="6">
        <f>IFERROR((F144-E144)/E144,"")</f>
        <v/>
      </c>
      <c r="I144" s="6">
        <f>IFERROR((G144-G115)/G115,"")</f>
        <v/>
      </c>
      <c r="J144" s="6">
        <f>IFERROR((G144-G110)/G110,"")</f>
        <v/>
      </c>
      <c r="K144" s="3" t="n"/>
      <c r="L144" s="6">
        <f>IFERROR(K144/SUM($K$110:$K$145),"")</f>
        <v/>
      </c>
      <c r="M144" s="8" t="n">
        <v>35</v>
      </c>
    </row>
    <row r="145">
      <c r="A145" t="inlineStr">
        <is>
          <t>Sidus</t>
        </is>
      </c>
      <c r="B145" t="inlineStr">
        <is>
          <t>DUOBLOC</t>
        </is>
      </c>
      <c r="C145" t="inlineStr">
        <is>
          <t>25 mg</t>
        </is>
      </c>
      <c r="D145" t="inlineStr">
        <is>
          <t>25 mg comp.x 28</t>
        </is>
      </c>
      <c r="E145" s="2" t="n">
        <v>6328.29</v>
      </c>
      <c r="F145" s="2" t="n">
        <v>6328.29</v>
      </c>
      <c r="G145" s="2">
        <f>IFERROR(F145/28,"")</f>
        <v/>
      </c>
      <c r="H145" s="6">
        <f>IFERROR((F145-E145)/E145,"")</f>
        <v/>
      </c>
      <c r="I145" s="6">
        <f>IFERROR((G145-G115)/G115,"")</f>
        <v/>
      </c>
      <c r="J145" s="6">
        <f>IFERROR((G145-G110)/G110,"")</f>
        <v/>
      </c>
      <c r="K145" s="3" t="n"/>
      <c r="L145" s="6">
        <f>IFERROR(K145/SUM($K$110:$K$145),"")</f>
        <v/>
      </c>
      <c r="M145" s="8" t="n">
        <v>36</v>
      </c>
    </row>
    <row r="147" ht="20" customHeight="1">
      <c r="A147" s="5" t="inlineStr">
        <is>
          <t>Dosis: 25/12.5 mg — carvedilol+hidroclorotiazida</t>
        </is>
      </c>
    </row>
    <row r="148">
      <c r="A148" t="inlineStr">
        <is>
          <t>Bagó</t>
        </is>
      </c>
      <c r="B148" t="inlineStr">
        <is>
          <t>CARVEDIL D</t>
        </is>
      </c>
      <c r="C148" t="inlineStr">
        <is>
          <t>25/12.5 mg</t>
        </is>
      </c>
      <c r="D148" t="inlineStr">
        <is>
          <t>25 mg/12.5 mg comp.x 28</t>
        </is>
      </c>
      <c r="E148" s="2" t="n">
        <v>27260.44</v>
      </c>
      <c r="F148" s="2" t="n">
        <v>27958.31</v>
      </c>
      <c r="G148" s="2">
        <f>IFERROR(F148/28,"")</f>
        <v/>
      </c>
      <c r="H148" s="6">
        <f>IFERROR((F148-E148)/E148,"")</f>
        <v/>
      </c>
      <c r="I148" s="6">
        <f>IFERROR((G148-G149)/G149,"")</f>
        <v/>
      </c>
      <c r="J148" s="7" t="inlineStr">
        <is>
          <t>Líder</t>
        </is>
      </c>
      <c r="K148" s="3" t="n">
        <v>17956</v>
      </c>
      <c r="L148" s="6">
        <f>IFERROR(K148/SUM($K$148:$K$151),"")</f>
        <v/>
      </c>
      <c r="M148" s="8" t="n">
        <v>1</v>
      </c>
    </row>
    <row r="149">
      <c r="A149" s="9" t="inlineStr">
        <is>
          <t>Siegfried ★ SIE</t>
        </is>
      </c>
      <c r="B149" s="9" t="inlineStr">
        <is>
          <t>DILATREND D</t>
        </is>
      </c>
      <c r="C149" s="9" t="inlineStr">
        <is>
          <t>25/12.5 mg</t>
        </is>
      </c>
      <c r="D149" s="9" t="inlineStr">
        <is>
          <t>25/12.5 mg comp.ran.x 28</t>
        </is>
      </c>
      <c r="E149" s="10" t="n">
        <v>26263.69</v>
      </c>
      <c r="F149" s="10" t="n">
        <v>26972.81</v>
      </c>
      <c r="G149" s="10">
        <f>IFERROR(F149/28,"")</f>
        <v/>
      </c>
      <c r="H149" s="11" t="n"/>
      <c r="I149" s="11" t="n"/>
      <c r="J149" s="11">
        <f>IFERROR((G149-G148)/G148,"")</f>
        <v/>
      </c>
      <c r="K149" s="12" t="n">
        <v>14670</v>
      </c>
      <c r="L149" s="11">
        <f>IFERROR(K149/SUM($K$148:$K$151),"")</f>
        <v/>
      </c>
      <c r="M149" s="13" t="n">
        <v>2</v>
      </c>
    </row>
    <row r="150">
      <c r="A150" t="inlineStr">
        <is>
          <t>Bagó</t>
        </is>
      </c>
      <c r="B150" t="inlineStr">
        <is>
          <t>CARVEDIL D</t>
        </is>
      </c>
      <c r="C150" t="inlineStr">
        <is>
          <t>25/12.5 mg</t>
        </is>
      </c>
      <c r="D150" t="inlineStr">
        <is>
          <t>25 mg/12.5 mg comp.x 30</t>
        </is>
      </c>
      <c r="E150" s="2" t="n">
        <v>27232.97</v>
      </c>
      <c r="F150" s="2" t="n">
        <v>27930.13</v>
      </c>
      <c r="G150" s="2">
        <f>IFERROR(F150/30,"")</f>
        <v/>
      </c>
      <c r="H150" s="6">
        <f>IFERROR((F150-E150)/E150,"")</f>
        <v/>
      </c>
      <c r="I150" s="6">
        <f>IFERROR((G150-G149)/G149,"")</f>
        <v/>
      </c>
      <c r="J150" s="6">
        <f>IFERROR((G150-G148)/G148,"")</f>
        <v/>
      </c>
      <c r="K150" s="3" t="n">
        <v>13040</v>
      </c>
      <c r="L150" s="6">
        <f>IFERROR(K150/SUM($K$148:$K$151),"")</f>
        <v/>
      </c>
      <c r="M150" s="8" t="n">
        <v>3</v>
      </c>
    </row>
    <row r="151">
      <c r="A151" t="inlineStr">
        <is>
          <t>Baliarda</t>
        </is>
      </c>
      <c r="B151" t="inlineStr">
        <is>
          <t>BIDECAR D</t>
        </is>
      </c>
      <c r="C151" t="inlineStr">
        <is>
          <t>25/12.5 mg</t>
        </is>
      </c>
      <c r="D151" t="inlineStr">
        <is>
          <t>25mg/12.5mg comp.x 30</t>
        </is>
      </c>
      <c r="E151" s="2" t="n">
        <v>22230.4</v>
      </c>
      <c r="F151" s="2" t="n">
        <v>22230.4</v>
      </c>
      <c r="G151" s="2">
        <f>IFERROR(F151/30,"")</f>
        <v/>
      </c>
      <c r="H151" s="6">
        <f>IFERROR((F151-E151)/E151,"")</f>
        <v/>
      </c>
      <c r="I151" s="6">
        <f>IFERROR((G151-G149)/G149,"")</f>
        <v/>
      </c>
      <c r="J151" s="6">
        <f>IFERROR((G151-G148)/G148,"")</f>
        <v/>
      </c>
      <c r="K151" s="3" t="n">
        <v>1024</v>
      </c>
      <c r="L151" s="6">
        <f>IFERROR(K151/SUM($K$148:$K$151),"")</f>
        <v/>
      </c>
      <c r="M151" s="8" t="n">
        <v>4</v>
      </c>
    </row>
    <row r="153" ht="20" customHeight="1">
      <c r="A153" s="5" t="inlineStr">
        <is>
          <t>Dosis: 40 mg — carvedilol</t>
        </is>
      </c>
    </row>
    <row r="154">
      <c r="A154" t="inlineStr">
        <is>
          <t>Gador</t>
        </is>
      </c>
      <c r="B154" t="inlineStr">
        <is>
          <t>FILTEN LP</t>
        </is>
      </c>
      <c r="C154" t="inlineStr">
        <is>
          <t>40 mg</t>
        </is>
      </c>
      <c r="D154" t="inlineStr">
        <is>
          <t>40 mg cáps.lib.prol.x 30</t>
        </is>
      </c>
      <c r="E154" s="2" t="n">
        <v>42965.49</v>
      </c>
      <c r="F154" s="2" t="n">
        <v>44039.63</v>
      </c>
      <c r="G154" s="2">
        <f>IFERROR(F154/30,"")</f>
        <v/>
      </c>
      <c r="H154" s="6">
        <f>IFERROR((F154-E154)/E154,"")</f>
        <v/>
      </c>
      <c r="I154" s="6">
        <f>IFERROR((G154-G155)/G155,"")</f>
        <v/>
      </c>
      <c r="J154" s="7" t="inlineStr">
        <is>
          <t>Líder</t>
        </is>
      </c>
      <c r="K154" s="3" t="n">
        <v>104983</v>
      </c>
      <c r="L154" s="6">
        <f>IFERROR(K154/SUM($K$154:$K$160),"")</f>
        <v/>
      </c>
      <c r="M154" s="8" t="n">
        <v>1</v>
      </c>
    </row>
    <row r="155">
      <c r="A155" s="9" t="inlineStr">
        <is>
          <t>Siegfried ★ SIE</t>
        </is>
      </c>
      <c r="B155" s="9" t="inlineStr">
        <is>
          <t>DILATREND AP</t>
        </is>
      </c>
      <c r="C155" s="9" t="inlineStr">
        <is>
          <t>40 mg</t>
        </is>
      </c>
      <c r="D155" s="9" t="inlineStr">
        <is>
          <t>40 mg cáps.x 30</t>
        </is>
      </c>
      <c r="E155" s="10" t="n">
        <v>42753.92</v>
      </c>
      <c r="F155" s="10" t="n">
        <v>43908.28</v>
      </c>
      <c r="G155" s="10">
        <f>IFERROR(F155/30,"")</f>
        <v/>
      </c>
      <c r="H155" s="11" t="n"/>
      <c r="I155" s="11" t="n"/>
      <c r="J155" s="11">
        <f>IFERROR((G155-G154)/G154,"")</f>
        <v/>
      </c>
      <c r="K155" s="12" t="n">
        <v>21437</v>
      </c>
      <c r="L155" s="11">
        <f>IFERROR(K155/SUM($K$154:$K$160),"")</f>
        <v/>
      </c>
      <c r="M155" s="13" t="n">
        <v>2</v>
      </c>
    </row>
    <row r="156">
      <c r="A156" t="inlineStr">
        <is>
          <t>Baliarda</t>
        </is>
      </c>
      <c r="B156" t="inlineStr">
        <is>
          <t>BIDECAR CR</t>
        </is>
      </c>
      <c r="C156" t="inlineStr">
        <is>
          <t>40 mg</t>
        </is>
      </c>
      <c r="D156" t="inlineStr">
        <is>
          <t>40 mg cáps.lib.cont.x 28</t>
        </is>
      </c>
      <c r="E156" s="2" t="n">
        <v>41922.99</v>
      </c>
      <c r="F156" s="2" t="n">
        <v>43138.76</v>
      </c>
      <c r="G156" s="2">
        <f>IFERROR(F156/28,"")</f>
        <v/>
      </c>
      <c r="H156" s="6">
        <f>IFERROR((F156-E156)/E156,"")</f>
        <v/>
      </c>
      <c r="I156" s="6">
        <f>IFERROR((G156-G155)/G155,"")</f>
        <v/>
      </c>
      <c r="J156" s="6">
        <f>IFERROR((G156-G154)/G154,"")</f>
        <v/>
      </c>
      <c r="K156" s="3" t="n">
        <v>20740</v>
      </c>
      <c r="L156" s="6">
        <f>IFERROR(K156/SUM($K$154:$K$160),"")</f>
        <v/>
      </c>
      <c r="M156" s="8" t="n">
        <v>3</v>
      </c>
    </row>
    <row r="157">
      <c r="A157" t="inlineStr">
        <is>
          <t>Elea</t>
        </is>
      </c>
      <c r="B157" t="inlineStr">
        <is>
          <t>VERATEN UD</t>
        </is>
      </c>
      <c r="C157" t="inlineStr">
        <is>
          <t>40 mg</t>
        </is>
      </c>
      <c r="D157" t="inlineStr">
        <is>
          <t>40 mg cáps.lib.ext.x 30</t>
        </is>
      </c>
      <c r="E157" s="2" t="n">
        <v>45085.15</v>
      </c>
      <c r="F157" s="2" t="n">
        <v>47830.65</v>
      </c>
      <c r="G157" s="2">
        <f>IFERROR(F157/30,"")</f>
        <v/>
      </c>
      <c r="H157" s="6">
        <f>IFERROR((F157-E157)/E157,"")</f>
        <v/>
      </c>
      <c r="I157" s="6">
        <f>IFERROR((G157-G155)/G155,"")</f>
        <v/>
      </c>
      <c r="J157" s="6">
        <f>IFERROR((G157-G154)/G154,"")</f>
        <v/>
      </c>
      <c r="K157" s="3" t="n">
        <v>6920</v>
      </c>
      <c r="L157" s="6">
        <f>IFERROR(K157/SUM($K$154:$K$160),"")</f>
        <v/>
      </c>
      <c r="M157" s="8" t="n">
        <v>4</v>
      </c>
    </row>
    <row r="158">
      <c r="A158" t="inlineStr">
        <is>
          <t>Bagó</t>
        </is>
      </c>
      <c r="B158" t="inlineStr">
        <is>
          <t>CARVEDIL RETARD 40</t>
        </is>
      </c>
      <c r="C158" t="inlineStr">
        <is>
          <t>40 mg</t>
        </is>
      </c>
      <c r="D158" t="inlineStr">
        <is>
          <t>40 mg cáps.lib.prol.x 30</t>
        </is>
      </c>
      <c r="E158" s="2" t="n">
        <v>41119.7</v>
      </c>
      <c r="F158" s="2" t="n">
        <v>41119.7</v>
      </c>
      <c r="G158" s="2">
        <f>IFERROR(F158/30,"")</f>
        <v/>
      </c>
      <c r="H158" s="6">
        <f>IFERROR((F158-E158)/E158,"")</f>
        <v/>
      </c>
      <c r="I158" s="6">
        <f>IFERROR((G158-G155)/G155,"")</f>
        <v/>
      </c>
      <c r="J158" s="6">
        <f>IFERROR((G158-G154)/G154,"")</f>
        <v/>
      </c>
      <c r="K158" s="3" t="n">
        <v>5</v>
      </c>
      <c r="L158" s="6">
        <f>IFERROR(K158/SUM($K$154:$K$160),"")</f>
        <v/>
      </c>
      <c r="M158" s="8" t="n">
        <v>5</v>
      </c>
    </row>
    <row r="159">
      <c r="A159" t="inlineStr">
        <is>
          <t>Bagó</t>
        </is>
      </c>
      <c r="B159" t="inlineStr">
        <is>
          <t>CARVEDIL RETARD 40</t>
        </is>
      </c>
      <c r="C159" t="inlineStr">
        <is>
          <t>40 mg</t>
        </is>
      </c>
      <c r="D159" t="inlineStr">
        <is>
          <t>40 mg cáps.lib.prol.x 28</t>
        </is>
      </c>
      <c r="E159" s="2" t="n">
        <v>40162.62</v>
      </c>
      <c r="F159" s="2" t="n">
        <v>40162.62</v>
      </c>
      <c r="G159" s="2">
        <f>IFERROR(F159/28,"")</f>
        <v/>
      </c>
      <c r="H159" s="6">
        <f>IFERROR((F159-E159)/E159,"")</f>
        <v/>
      </c>
      <c r="I159" s="6">
        <f>IFERROR((G159-G155)/G155,"")</f>
        <v/>
      </c>
      <c r="J159" s="6">
        <f>IFERROR((G159-G154)/G154,"")</f>
        <v/>
      </c>
      <c r="K159" s="3" t="n">
        <v>2</v>
      </c>
      <c r="L159" s="6">
        <f>IFERROR(K159/SUM($K$154:$K$160),"")</f>
        <v/>
      </c>
      <c r="M159" s="8" t="n">
        <v>6</v>
      </c>
    </row>
    <row r="160">
      <c r="A160" t="inlineStr">
        <is>
          <t>Casasco</t>
        </is>
      </c>
      <c r="B160" t="inlineStr">
        <is>
          <t>ISOBLOC CR 40 MG</t>
        </is>
      </c>
      <c r="C160" t="inlineStr">
        <is>
          <t>40 mg</t>
        </is>
      </c>
      <c r="D160" t="inlineStr">
        <is>
          <t>40 mg cáps.x 30</t>
        </is>
      </c>
      <c r="E160" s="2" t="n">
        <v>41457.15</v>
      </c>
      <c r="F160" s="2" t="n">
        <v>42659.4</v>
      </c>
      <c r="G160" s="2">
        <f>IFERROR(F160/30,"")</f>
        <v/>
      </c>
      <c r="H160" s="6">
        <f>IFERROR((F160-E160)/E160,"")</f>
        <v/>
      </c>
      <c r="I160" s="6">
        <f>IFERROR((G160-G155)/G155,"")</f>
        <v/>
      </c>
      <c r="J160" s="6">
        <f>IFERROR((G160-G154)/G154,"")</f>
        <v/>
      </c>
      <c r="K160" s="3" t="n"/>
      <c r="L160" s="6">
        <f>IFERROR(K160/SUM($K$154:$K$160),"")</f>
        <v/>
      </c>
      <c r="M160" s="8" t="n">
        <v>7</v>
      </c>
    </row>
    <row r="162" ht="20" customHeight="1">
      <c r="A162" s="5" t="inlineStr">
        <is>
          <t>Dosis: 50 mg — carvedilol</t>
        </is>
      </c>
    </row>
    <row r="163">
      <c r="A163" t="inlineStr">
        <is>
          <t>Gador</t>
        </is>
      </c>
      <c r="B163" t="inlineStr">
        <is>
          <t>FILTEN</t>
        </is>
      </c>
      <c r="C163" t="inlineStr">
        <is>
          <t>50 mg</t>
        </is>
      </c>
      <c r="D163" t="inlineStr">
        <is>
          <t>50 mg comp.ran.x 30</t>
        </is>
      </c>
      <c r="E163" s="2" t="n">
        <v>30809.67</v>
      </c>
      <c r="F163" s="2" t="n">
        <v>31579.91</v>
      </c>
      <c r="G163" s="2">
        <f>IFERROR(F163/30,"")</f>
        <v/>
      </c>
      <c r="H163" s="6">
        <f>IFERROR((F163-E163)/E163,"")</f>
        <v/>
      </c>
      <c r="I163" s="6">
        <f>IFERROR((G163-G166)/G166,"")</f>
        <v/>
      </c>
      <c r="J163" s="7" t="inlineStr">
        <is>
          <t>Líder</t>
        </is>
      </c>
      <c r="K163" s="3" t="n">
        <v>23753</v>
      </c>
      <c r="L163" s="6">
        <f>IFERROR(K163/SUM($K$163:$K$170),"")</f>
        <v/>
      </c>
      <c r="M163" s="8" t="n">
        <v>1</v>
      </c>
    </row>
    <row r="164">
      <c r="A164" t="inlineStr">
        <is>
          <t>Bagó</t>
        </is>
      </c>
      <c r="B164" t="inlineStr">
        <is>
          <t>CARVEDIL 50</t>
        </is>
      </c>
      <c r="C164" t="inlineStr">
        <is>
          <t>50 mg</t>
        </is>
      </c>
      <c r="D164" t="inlineStr">
        <is>
          <t>50 mg comp.x 30</t>
        </is>
      </c>
      <c r="E164" s="2" t="n">
        <v>32266.44</v>
      </c>
      <c r="F164" s="2" t="n">
        <v>33092.46</v>
      </c>
      <c r="G164" s="2">
        <f>IFERROR(F164/30,"")</f>
        <v/>
      </c>
      <c r="H164" s="6">
        <f>IFERROR((F164-E164)/E164,"")</f>
        <v/>
      </c>
      <c r="I164" s="6">
        <f>IFERROR((G164-G166)/G166,"")</f>
        <v/>
      </c>
      <c r="J164" s="6">
        <f>IFERROR((G164-G163)/G163,"")</f>
        <v/>
      </c>
      <c r="K164" s="3" t="n">
        <v>17250</v>
      </c>
      <c r="L164" s="6">
        <f>IFERROR(K164/SUM($K$163:$K$170),"")</f>
        <v/>
      </c>
      <c r="M164" s="8" t="n">
        <v>2</v>
      </c>
    </row>
    <row r="165">
      <c r="A165" t="inlineStr">
        <is>
          <t>Bagó</t>
        </is>
      </c>
      <c r="B165" t="inlineStr">
        <is>
          <t>CARVEDIL 50</t>
        </is>
      </c>
      <c r="C165" t="inlineStr">
        <is>
          <t>50 mg</t>
        </is>
      </c>
      <c r="D165" t="inlineStr">
        <is>
          <t>50 mg comp.x 28</t>
        </is>
      </c>
      <c r="E165" s="2" t="n">
        <v>30437.98</v>
      </c>
      <c r="F165" s="2" t="n">
        <v>31217.19</v>
      </c>
      <c r="G165" s="2">
        <f>IFERROR(F165/28,"")</f>
        <v/>
      </c>
      <c r="H165" s="6">
        <f>IFERROR((F165-E165)/E165,"")</f>
        <v/>
      </c>
      <c r="I165" s="6">
        <f>IFERROR((G165-G166)/G166,"")</f>
        <v/>
      </c>
      <c r="J165" s="6">
        <f>IFERROR((G165-G163)/G163,"")</f>
        <v/>
      </c>
      <c r="K165" s="3" t="n">
        <v>16199</v>
      </c>
      <c r="L165" s="6">
        <f>IFERROR(K165/SUM($K$163:$K$170),"")</f>
        <v/>
      </c>
      <c r="M165" s="8" t="n">
        <v>3</v>
      </c>
    </row>
    <row r="166">
      <c r="A166" s="9" t="inlineStr">
        <is>
          <t>Siegfried ★ SIE</t>
        </is>
      </c>
      <c r="B166" s="9" t="inlineStr">
        <is>
          <t>DILATREND</t>
        </is>
      </c>
      <c r="C166" s="9" t="inlineStr">
        <is>
          <t>50 mg</t>
        </is>
      </c>
      <c r="D166" s="9" t="inlineStr">
        <is>
          <t>50 mg comp.ran.x 28</t>
        </is>
      </c>
      <c r="E166" s="10" t="n">
        <v>30194.72</v>
      </c>
      <c r="F166" s="10" t="n">
        <v>31009.97</v>
      </c>
      <c r="G166" s="10">
        <f>IFERROR(F166/28,"")</f>
        <v/>
      </c>
      <c r="H166" s="11" t="n"/>
      <c r="I166" s="11" t="n"/>
      <c r="J166" s="11">
        <f>IFERROR((G166-G163)/G163,"")</f>
        <v/>
      </c>
      <c r="K166" s="12" t="n">
        <v>6923</v>
      </c>
      <c r="L166" s="11">
        <f>IFERROR(K166/SUM($K$163:$K$170),"")</f>
        <v/>
      </c>
      <c r="M166" s="13" t="n">
        <v>4</v>
      </c>
    </row>
    <row r="167">
      <c r="A167" t="inlineStr">
        <is>
          <t>Baliarda</t>
        </is>
      </c>
      <c r="B167" t="inlineStr">
        <is>
          <t>BIDECAR</t>
        </is>
      </c>
      <c r="C167" t="inlineStr">
        <is>
          <t>50 mg</t>
        </is>
      </c>
      <c r="D167" t="inlineStr">
        <is>
          <t>50 mg comp.ran.x 28</t>
        </is>
      </c>
      <c r="E167" s="2" t="n">
        <v>28967.62</v>
      </c>
      <c r="F167" s="2" t="n">
        <v>29807.68</v>
      </c>
      <c r="G167" s="2">
        <f>IFERROR(F167/28,"")</f>
        <v/>
      </c>
      <c r="H167" s="6">
        <f>IFERROR((F167-E167)/E167,"")</f>
        <v/>
      </c>
      <c r="I167" s="6">
        <f>IFERROR((G167-G166)/G166,"")</f>
        <v/>
      </c>
      <c r="J167" s="6">
        <f>IFERROR((G167-G163)/G163,"")</f>
        <v/>
      </c>
      <c r="K167" s="3" t="n">
        <v>5474</v>
      </c>
      <c r="L167" s="6">
        <f>IFERROR(K167/SUM($K$163:$K$170),"")</f>
        <v/>
      </c>
      <c r="M167" s="8" t="n">
        <v>5</v>
      </c>
    </row>
    <row r="168">
      <c r="A168" t="inlineStr">
        <is>
          <t>Baliarda</t>
        </is>
      </c>
      <c r="B168" t="inlineStr">
        <is>
          <t>BIDECAR</t>
        </is>
      </c>
      <c r="C168" t="inlineStr">
        <is>
          <t>50 mg</t>
        </is>
      </c>
      <c r="D168" t="inlineStr">
        <is>
          <t>50 mg comp.ran.x 30</t>
        </is>
      </c>
      <c r="E168" s="2" t="n">
        <v>30340.54</v>
      </c>
      <c r="F168" s="2" t="n">
        <v>31220.42</v>
      </c>
      <c r="G168" s="2">
        <f>IFERROR(F168/30,"")</f>
        <v/>
      </c>
      <c r="H168" s="6">
        <f>IFERROR((F168-E168)/E168,"")</f>
        <v/>
      </c>
      <c r="I168" s="6">
        <f>IFERROR((G168-G166)/G166,"")</f>
        <v/>
      </c>
      <c r="J168" s="6">
        <f>IFERROR((G168-G163)/G163,"")</f>
        <v/>
      </c>
      <c r="K168" s="3" t="n">
        <v>2406</v>
      </c>
      <c r="L168" s="6">
        <f>IFERROR(K168/SUM($K$163:$K$170),"")</f>
        <v/>
      </c>
      <c r="M168" s="8" t="n">
        <v>6</v>
      </c>
    </row>
    <row r="169">
      <c r="A169" t="inlineStr">
        <is>
          <t>Géminis Farmacéutica</t>
        </is>
      </c>
      <c r="B169" t="inlineStr">
        <is>
          <t>CARVICORD</t>
        </is>
      </c>
      <c r="C169" t="inlineStr">
        <is>
          <t>50 mg</t>
        </is>
      </c>
      <c r="D169" t="inlineStr">
        <is>
          <t>50 mg comp.ran.x 30</t>
        </is>
      </c>
      <c r="E169" s="2" t="n">
        <v>30468.82</v>
      </c>
      <c r="F169" s="2" t="n">
        <v>31352.42</v>
      </c>
      <c r="G169" s="2">
        <f>IFERROR(F169/30,"")</f>
        <v/>
      </c>
      <c r="H169" s="6">
        <f>IFERROR((F169-E169)/E169,"")</f>
        <v/>
      </c>
      <c r="I169" s="6">
        <f>IFERROR((G169-G166)/G166,"")</f>
        <v/>
      </c>
      <c r="J169" s="6">
        <f>IFERROR((G169-G163)/G163,"")</f>
        <v/>
      </c>
      <c r="K169" s="3" t="n">
        <v>65</v>
      </c>
      <c r="L169" s="6">
        <f>IFERROR(K169/SUM($K$163:$K$170),"")</f>
        <v/>
      </c>
      <c r="M169" s="8" t="n">
        <v>7</v>
      </c>
    </row>
    <row r="170">
      <c r="A170" t="inlineStr">
        <is>
          <t>Richet</t>
        </is>
      </c>
      <c r="B170" t="inlineStr">
        <is>
          <t>CARVEDILOL RICHET</t>
        </is>
      </c>
      <c r="C170" t="inlineStr">
        <is>
          <t>50 mg</t>
        </is>
      </c>
      <c r="D170" t="inlineStr">
        <is>
          <t>50 mg comp.x 28</t>
        </is>
      </c>
      <c r="E170" s="2" t="n">
        <v>36925.74</v>
      </c>
      <c r="F170" s="2" t="n">
        <v>37664.25</v>
      </c>
      <c r="G170" s="2">
        <f>IFERROR(F170/28,"")</f>
        <v/>
      </c>
      <c r="H170" s="6">
        <f>IFERROR((F170-E170)/E170,"")</f>
        <v/>
      </c>
      <c r="I170" s="6">
        <f>IFERROR((G170-G166)/G166,"")</f>
        <v/>
      </c>
      <c r="J170" s="6">
        <f>IFERROR((G170-G163)/G163,"")</f>
        <v/>
      </c>
      <c r="K170" s="3" t="n"/>
      <c r="L170" s="6">
        <f>IFERROR(K170/SUM($K$163:$K$170),"")</f>
        <v/>
      </c>
      <c r="M170" s="8" t="n">
        <v>8</v>
      </c>
    </row>
    <row r="172" ht="20" customHeight="1">
      <c r="A172" s="5" t="inlineStr">
        <is>
          <t>Dosis: 80 mg — carvedilol</t>
        </is>
      </c>
    </row>
    <row r="173">
      <c r="A173" t="inlineStr">
        <is>
          <t>Gador</t>
        </is>
      </c>
      <c r="B173" t="inlineStr">
        <is>
          <t>FILTEN LP</t>
        </is>
      </c>
      <c r="C173" t="inlineStr">
        <is>
          <t>80 mg</t>
        </is>
      </c>
      <c r="D173" t="inlineStr">
        <is>
          <t>80 mg cáps.lib.prol.x 30</t>
        </is>
      </c>
      <c r="E173" s="2" t="n">
        <v>52606.7</v>
      </c>
      <c r="F173" s="2" t="n">
        <v>53921.87</v>
      </c>
      <c r="G173" s="2">
        <f>IFERROR(F173/30,"")</f>
        <v/>
      </c>
      <c r="H173" s="6">
        <f>IFERROR((F173-E173)/E173,"")</f>
        <v/>
      </c>
      <c r="I173" s="6">
        <f>IFERROR((G173-G174)/G174,"")</f>
        <v/>
      </c>
      <c r="J173" s="7" t="inlineStr">
        <is>
          <t>Líder</t>
        </is>
      </c>
      <c r="K173" s="3" t="n">
        <v>20289</v>
      </c>
      <c r="L173" s="6">
        <f>IFERROR(K173/SUM($K$173:$K$175),"")</f>
        <v/>
      </c>
      <c r="M173" s="8" t="n">
        <v>1</v>
      </c>
    </row>
    <row r="174">
      <c r="A174" s="9" t="inlineStr">
        <is>
          <t>Siegfried ★ SIE</t>
        </is>
      </c>
      <c r="B174" s="9" t="inlineStr">
        <is>
          <t>DILATREND AP</t>
        </is>
      </c>
      <c r="C174" s="9" t="inlineStr">
        <is>
          <t>80 mg</t>
        </is>
      </c>
      <c r="D174" s="9" t="inlineStr">
        <is>
          <t>80 mg cáps.x 30</t>
        </is>
      </c>
      <c r="E174" s="10" t="n">
        <v>50708.18</v>
      </c>
      <c r="F174" s="10" t="n">
        <v>52077.3</v>
      </c>
      <c r="G174" s="10">
        <f>IFERROR(F174/30,"")</f>
        <v/>
      </c>
      <c r="H174" s="11" t="n"/>
      <c r="I174" s="11" t="n"/>
      <c r="J174" s="11">
        <f>IFERROR((G174-G173)/G173,"")</f>
        <v/>
      </c>
      <c r="K174" s="12" t="n">
        <v>4748</v>
      </c>
      <c r="L174" s="11">
        <f>IFERROR(K174/SUM($K$173:$K$175),"")</f>
        <v/>
      </c>
      <c r="M174" s="13" t="n">
        <v>2</v>
      </c>
    </row>
    <row r="175">
      <c r="A175" t="inlineStr">
        <is>
          <t>Baliarda</t>
        </is>
      </c>
      <c r="B175" t="inlineStr">
        <is>
          <t>BIDECAR CR</t>
        </is>
      </c>
      <c r="C175" t="inlineStr">
        <is>
          <t>80 mg</t>
        </is>
      </c>
      <c r="D175" t="inlineStr">
        <is>
          <t>80 mg cáps.lib.cont.x 28</t>
        </is>
      </c>
      <c r="E175" s="2" t="n">
        <v>51395.18</v>
      </c>
      <c r="F175" s="2" t="n">
        <v>52885.64</v>
      </c>
      <c r="G175" s="2">
        <f>IFERROR(F175/28,"")</f>
        <v/>
      </c>
      <c r="H175" s="6">
        <f>IFERROR((F175-E175)/E175,"")</f>
        <v/>
      </c>
      <c r="I175" s="6">
        <f>IFERROR((G175-G174)/G174,"")</f>
        <v/>
      </c>
      <c r="J175" s="6">
        <f>IFERROR((G175-G173)/G173,"")</f>
        <v/>
      </c>
      <c r="K175" s="3" t="n">
        <v>4425</v>
      </c>
      <c r="L175" s="6">
        <f>IFERROR(K175/SUM($K$173:$K$175),"")</f>
        <v/>
      </c>
      <c r="M175" s="8" t="n">
        <v>3</v>
      </c>
    </row>
  </sheetData>
  <mergeCells count="10">
    <mergeCell ref="A18:M18"/>
    <mergeCell ref="A62:M62"/>
    <mergeCell ref="A100:M100"/>
    <mergeCell ref="A153:M153"/>
    <mergeCell ref="A162:M162"/>
    <mergeCell ref="A55:M55"/>
    <mergeCell ref="A109:M109"/>
    <mergeCell ref="A147:M147"/>
    <mergeCell ref="A172:M172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" customWidth="1" min="1" max="1"/>
    <col width="20.83" customWidth="1" min="2" max="2"/>
    <col width="12" customWidth="1" min="3" max="3"/>
    <col width="28.83" customWidth="1" min="4" max="4"/>
    <col width="14.83" customWidth="1" min="5" max="5"/>
    <col width="14.83" customWidth="1" min="6" max="6"/>
    <col width="12.83" customWidth="1" min="7" max="7"/>
    <col width="8.83" customWidth="1" min="8" max="8"/>
    <col width="10.83" customWidth="1" min="9" max="9"/>
    <col width="10.83" customWidth="1" min="10" max="10"/>
    <col width="12.83" customWidth="1" min="11" max="11"/>
    <col width="8.83" customWidth="1" min="12" max="12"/>
    <col width="6.83" customWidth="1" min="13" max="13"/>
  </cols>
  <sheetData>
    <row r="1">
      <c r="A1" s="4" t="inlineStr">
        <is>
          <t>Laboratorio</t>
        </is>
      </c>
      <c r="B1" s="4" t="inlineStr">
        <is>
          <t>Producto</t>
        </is>
      </c>
      <c r="C1" s="4" t="inlineStr">
        <is>
          <t>Dosis</t>
        </is>
      </c>
      <c r="D1" s="4" t="inlineStr">
        <is>
          <t>Presentación</t>
        </is>
      </c>
      <c r="E1" s="4" t="inlineStr">
        <is>
          <t>PVP Feb 2026</t>
        </is>
      </c>
      <c r="F1" s="4" t="inlineStr">
        <is>
          <t>PVP Abr 2026</t>
        </is>
      </c>
      <c r="G1" s="4" t="inlineStr">
        <is>
          <t>PVP/Unidad</t>
        </is>
      </c>
      <c r="H1" s="4" t="inlineStr">
        <is>
          <t>Var %</t>
        </is>
      </c>
      <c r="I1" s="4" t="inlineStr">
        <is>
          <t>VS SIE</t>
        </is>
      </c>
      <c r="J1" s="4" t="inlineStr">
        <is>
          <t>VS Líder</t>
        </is>
      </c>
      <c r="K1" s="4" t="inlineStr">
        <is>
          <t>IQVIA MAT U.</t>
        </is>
      </c>
      <c r="L1" s="4" t="inlineStr">
        <is>
          <t>Share %</t>
        </is>
      </c>
      <c r="M1" s="4" t="inlineStr">
        <is>
          <t>Ranking</t>
        </is>
      </c>
    </row>
    <row r="2" ht="20" customHeight="1">
      <c r="A2" s="5" t="inlineStr">
        <is>
          <t>Dosis: 40 mg — valsartan</t>
        </is>
      </c>
    </row>
    <row r="3">
      <c r="A3" s="9" t="inlineStr">
        <is>
          <t>Siegfried ★ SIE</t>
        </is>
      </c>
      <c r="B3" s="9" t="inlineStr">
        <is>
          <t>DIOVAN IC</t>
        </is>
      </c>
      <c r="C3" s="9" t="inlineStr">
        <is>
          <t>40 mg</t>
        </is>
      </c>
      <c r="D3" s="9" t="inlineStr">
        <is>
          <t>40 mg comp.rec.x 14</t>
        </is>
      </c>
      <c r="E3" s="10" t="n">
        <v>20793.12</v>
      </c>
      <c r="F3" s="10" t="n">
        <v>20793.12</v>
      </c>
      <c r="G3" s="10">
        <f>IFERROR(F3/14,"")</f>
        <v/>
      </c>
      <c r="H3" s="11" t="n"/>
      <c r="I3" s="11" t="n"/>
      <c r="J3" s="7" t="inlineStr">
        <is>
          <t>Líder</t>
        </is>
      </c>
      <c r="K3" s="12" t="n">
        <v>11260</v>
      </c>
      <c r="L3" s="11">
        <f>IFERROR(K3/SUM($K$3:$K$3),"")</f>
        <v/>
      </c>
      <c r="M3" s="13" t="n">
        <v>1</v>
      </c>
    </row>
    <row r="5" ht="20" customHeight="1">
      <c r="A5" s="5" t="inlineStr">
        <is>
          <t>Dosis: 80/12.5 mg — valsartan+hidroclorotiazida</t>
        </is>
      </c>
    </row>
    <row r="6">
      <c r="A6" t="inlineStr">
        <is>
          <t>Adium</t>
        </is>
      </c>
      <c r="B6" t="inlineStr">
        <is>
          <t>ALPERTAN D</t>
        </is>
      </c>
      <c r="C6" t="inlineStr">
        <is>
          <t>80/12.5 mg</t>
        </is>
      </c>
      <c r="D6" t="inlineStr">
        <is>
          <t>80/12.5 mg comp.rec.x 28</t>
        </is>
      </c>
      <c r="E6" s="2" t="n">
        <v>34055.09</v>
      </c>
      <c r="F6" s="2" t="n">
        <v>35796.23</v>
      </c>
      <c r="G6" s="2">
        <f>IFERROR(F6/28,"")</f>
        <v/>
      </c>
      <c r="H6" s="6">
        <f>IFERROR((F6-E6)/E6,"")</f>
        <v/>
      </c>
      <c r="I6" s="6">
        <f>IFERROR((G6-G11)/G11,"")</f>
        <v/>
      </c>
      <c r="J6" s="7" t="inlineStr">
        <is>
          <t>Líder</t>
        </is>
      </c>
      <c r="K6" s="3" t="n">
        <v>312515</v>
      </c>
      <c r="L6" s="6">
        <f>IFERROR(K6/SUM($K$6:$K$23),"")</f>
        <v/>
      </c>
      <c r="M6" s="8" t="n">
        <v>1</v>
      </c>
    </row>
    <row r="7">
      <c r="A7" t="inlineStr">
        <is>
          <t>Baliarda</t>
        </is>
      </c>
      <c r="B7" t="inlineStr">
        <is>
          <t>SARVAL D 80/12.5</t>
        </is>
      </c>
      <c r="C7" t="inlineStr">
        <is>
          <t>80/12.5 mg</t>
        </is>
      </c>
      <c r="D7" t="inlineStr">
        <is>
          <t>80/12.5 mg comp.rec.x 30</t>
        </is>
      </c>
      <c r="E7" s="2" t="n">
        <v>30965.47</v>
      </c>
      <c r="F7" s="2" t="n">
        <v>30965.47</v>
      </c>
      <c r="G7" s="2">
        <f>IFERROR(F7/30,"")</f>
        <v/>
      </c>
      <c r="H7" s="6">
        <f>IFERROR((F7-E7)/E7,"")</f>
        <v/>
      </c>
      <c r="I7" s="6">
        <f>IFERROR((G7-G11)/G11,"")</f>
        <v/>
      </c>
      <c r="J7" s="6">
        <f>IFERROR((G7-G6)/G6,"")</f>
        <v/>
      </c>
      <c r="K7" s="3" t="n">
        <v>245508</v>
      </c>
      <c r="L7" s="6">
        <f>IFERROR(K7/SUM($K$6:$K$23),"")</f>
        <v/>
      </c>
      <c r="M7" s="8" t="n">
        <v>2</v>
      </c>
    </row>
    <row r="8">
      <c r="A8" t="inlineStr">
        <is>
          <t>Roemmers</t>
        </is>
      </c>
      <c r="B8" t="inlineStr">
        <is>
          <t>RACORVAL D</t>
        </is>
      </c>
      <c r="C8" t="inlineStr">
        <is>
          <t>80/12.5 mg</t>
        </is>
      </c>
      <c r="D8" t="inlineStr">
        <is>
          <t>80/12.5 mg comp.rec.x 28</t>
        </is>
      </c>
      <c r="E8" s="2" t="n">
        <v>28990</v>
      </c>
      <c r="F8" s="2" t="n">
        <v>29193</v>
      </c>
      <c r="G8" s="2">
        <f>IFERROR(F8/28,"")</f>
        <v/>
      </c>
      <c r="H8" s="6">
        <f>IFERROR((F8-E8)/E8,"")</f>
        <v/>
      </c>
      <c r="I8" s="6">
        <f>IFERROR((G8-G11)/G11,"")</f>
        <v/>
      </c>
      <c r="J8" s="6">
        <f>IFERROR((G8-G6)/G6,"")</f>
        <v/>
      </c>
      <c r="K8" s="3" t="n">
        <v>131779</v>
      </c>
      <c r="L8" s="6">
        <f>IFERROR(K8/SUM($K$6:$K$23),"")</f>
        <v/>
      </c>
      <c r="M8" s="8" t="n">
        <v>3</v>
      </c>
    </row>
    <row r="9">
      <c r="A9" t="inlineStr">
        <is>
          <t>Montpellier</t>
        </is>
      </c>
      <c r="B9" t="inlineStr">
        <is>
          <t>DIAPRESAN D</t>
        </is>
      </c>
      <c r="C9" t="inlineStr">
        <is>
          <t>80/12.5 mg</t>
        </is>
      </c>
      <c r="D9" t="inlineStr">
        <is>
          <t>80/12.5 mg comp.rec.x 30</t>
        </is>
      </c>
      <c r="E9" s="2" t="n">
        <v>30037.15</v>
      </c>
      <c r="F9" s="2" t="n">
        <v>30337.52</v>
      </c>
      <c r="G9" s="2">
        <f>IFERROR(F9/30,"")</f>
        <v/>
      </c>
      <c r="H9" s="6">
        <f>IFERROR((F9-E9)/E9,"")</f>
        <v/>
      </c>
      <c r="I9" s="6">
        <f>IFERROR((G9-G11)/G11,"")</f>
        <v/>
      </c>
      <c r="J9" s="6">
        <f>IFERROR((G9-G6)/G6,"")</f>
        <v/>
      </c>
      <c r="K9" s="3" t="n">
        <v>123253</v>
      </c>
      <c r="L9" s="6">
        <f>IFERROR(K9/SUM($K$6:$K$23),"")</f>
        <v/>
      </c>
      <c r="M9" s="8" t="n">
        <v>4</v>
      </c>
    </row>
    <row r="10">
      <c r="A10" t="inlineStr">
        <is>
          <t>Casasco</t>
        </is>
      </c>
      <c r="B10" t="inlineStr">
        <is>
          <t>DILCORAN D</t>
        </is>
      </c>
      <c r="C10" t="inlineStr">
        <is>
          <t>80/12.5 mg</t>
        </is>
      </c>
      <c r="D10" t="inlineStr">
        <is>
          <t>80/12.5 mg comp.rec.x 28</t>
        </is>
      </c>
      <c r="E10" s="2" t="n">
        <v>28808.12</v>
      </c>
      <c r="F10" s="2" t="n">
        <v>29009.78</v>
      </c>
      <c r="G10" s="2">
        <f>IFERROR(F10/28,"")</f>
        <v/>
      </c>
      <c r="H10" s="6">
        <f>IFERROR((F10-E10)/E10,"")</f>
        <v/>
      </c>
      <c r="I10" s="6">
        <f>IFERROR((G10-G11)/G11,"")</f>
        <v/>
      </c>
      <c r="J10" s="6">
        <f>IFERROR((G10-G6)/G6,"")</f>
        <v/>
      </c>
      <c r="K10" s="3" t="n">
        <v>59936</v>
      </c>
      <c r="L10" s="6">
        <f>IFERROR(K10/SUM($K$6:$K$23),"")</f>
        <v/>
      </c>
      <c r="M10" s="8" t="n">
        <v>5</v>
      </c>
    </row>
    <row r="11">
      <c r="A11" s="9" t="inlineStr">
        <is>
          <t>Siegfried ★ SIE</t>
        </is>
      </c>
      <c r="B11" s="9" t="inlineStr">
        <is>
          <t>DIOVAN D</t>
        </is>
      </c>
      <c r="C11" s="9" t="inlineStr">
        <is>
          <t>80/12.5 mg</t>
        </is>
      </c>
      <c r="D11" s="9" t="inlineStr">
        <is>
          <t>80/12.5 mg comp.rec.x 28</t>
        </is>
      </c>
      <c r="E11" s="10" t="n">
        <v>36341.62</v>
      </c>
      <c r="F11" s="10" t="n">
        <v>36341.62</v>
      </c>
      <c r="G11" s="10">
        <f>IFERROR(F11/28,"")</f>
        <v/>
      </c>
      <c r="H11" s="11" t="n"/>
      <c r="I11" s="11" t="n"/>
      <c r="J11" s="11">
        <f>IFERROR((G11-G6)/G6,"")</f>
        <v/>
      </c>
      <c r="K11" s="12" t="n">
        <v>56403</v>
      </c>
      <c r="L11" s="11">
        <f>IFERROR(K11/SUM($K$6:$K$23),"")</f>
        <v/>
      </c>
      <c r="M11" s="13" t="n">
        <v>6</v>
      </c>
    </row>
    <row r="12">
      <c r="A12" t="inlineStr">
        <is>
          <t>Lazar</t>
        </is>
      </c>
      <c r="B12" t="inlineStr">
        <is>
          <t>SIMULTAN D</t>
        </is>
      </c>
      <c r="C12" t="inlineStr">
        <is>
          <t>80/12.5 mg</t>
        </is>
      </c>
      <c r="D12" t="inlineStr">
        <is>
          <t>80/12.5 mg comp.rec.x 30</t>
        </is>
      </c>
      <c r="E12" s="2" t="n">
        <v>31181.38</v>
      </c>
      <c r="F12" s="2" t="n">
        <v>32598.56</v>
      </c>
      <c r="G12" s="2">
        <f>IFERROR(F12/30,"")</f>
        <v/>
      </c>
      <c r="H12" s="6">
        <f>IFERROR((F12-E12)/E12,"")</f>
        <v/>
      </c>
      <c r="I12" s="6">
        <f>IFERROR((G12-G11)/G11,"")</f>
        <v/>
      </c>
      <c r="J12" s="6">
        <f>IFERROR((G12-G6)/G6,"")</f>
        <v/>
      </c>
      <c r="K12" s="3" t="n">
        <v>55013</v>
      </c>
      <c r="L12" s="6">
        <f>IFERROR(K12/SUM($K$6:$K$23),"")</f>
        <v/>
      </c>
      <c r="M12" s="8" t="n">
        <v>7</v>
      </c>
    </row>
    <row r="13">
      <c r="A13" t="inlineStr">
        <is>
          <t>Gador</t>
        </is>
      </c>
      <c r="B13" t="inlineStr">
        <is>
          <t>PALIAX D</t>
        </is>
      </c>
      <c r="C13" t="inlineStr">
        <is>
          <t>80/12.5 mg</t>
        </is>
      </c>
      <c r="D13" t="inlineStr">
        <is>
          <t>80/12.5 mg comp.rec.x 30</t>
        </is>
      </c>
      <c r="E13" s="2" t="n">
        <v>30225.72</v>
      </c>
      <c r="F13" s="2" t="n">
        <v>30679.1</v>
      </c>
      <c r="G13" s="2">
        <f>IFERROR(F13/30,"")</f>
        <v/>
      </c>
      <c r="H13" s="6">
        <f>IFERROR((F13-E13)/E13,"")</f>
        <v/>
      </c>
      <c r="I13" s="6">
        <f>IFERROR((G13-G11)/G11,"")</f>
        <v/>
      </c>
      <c r="J13" s="6">
        <f>IFERROR((G13-G6)/G6,"")</f>
        <v/>
      </c>
      <c r="K13" s="3" t="n">
        <v>35363</v>
      </c>
      <c r="L13" s="6">
        <f>IFERROR(K13/SUM($K$6:$K$23),"")</f>
        <v/>
      </c>
      <c r="M13" s="8" t="n">
        <v>8</v>
      </c>
    </row>
    <row r="14">
      <c r="A14" t="inlineStr">
        <is>
          <t>Elea</t>
        </is>
      </c>
      <c r="B14" t="inlineStr">
        <is>
          <t>COROSAN D</t>
        </is>
      </c>
      <c r="C14" t="inlineStr">
        <is>
          <t>80/12.5 mg</t>
        </is>
      </c>
      <c r="D14" t="inlineStr">
        <is>
          <t>80/12.5 mg comp.x 30</t>
        </is>
      </c>
      <c r="E14" s="2" t="n">
        <v>36052.23</v>
      </c>
      <c r="F14" s="2" t="n">
        <v>38247.66</v>
      </c>
      <c r="G14" s="2">
        <f>IFERROR(F14/30,"")</f>
        <v/>
      </c>
      <c r="H14" s="6">
        <f>IFERROR((F14-E14)/E14,"")</f>
        <v/>
      </c>
      <c r="I14" s="6">
        <f>IFERROR((G14-G11)/G11,"")</f>
        <v/>
      </c>
      <c r="J14" s="6">
        <f>IFERROR((G14-G6)/G6,"")</f>
        <v/>
      </c>
      <c r="K14" s="3" t="n">
        <v>31079</v>
      </c>
      <c r="L14" s="6">
        <f>IFERROR(K14/SUM($K$6:$K$23),"")</f>
        <v/>
      </c>
      <c r="M14" s="8" t="n">
        <v>9</v>
      </c>
    </row>
    <row r="15">
      <c r="A15" t="inlineStr">
        <is>
          <t>Roemmers</t>
        </is>
      </c>
      <c r="B15" t="inlineStr">
        <is>
          <t>RACORVAL D</t>
        </is>
      </c>
      <c r="C15" t="inlineStr">
        <is>
          <t>80/12.5 mg</t>
        </is>
      </c>
      <c r="D15" t="inlineStr">
        <is>
          <t>80/12.5 mg comp.rec.x 30</t>
        </is>
      </c>
      <c r="E15" s="2" t="n">
        <v>28887</v>
      </c>
      <c r="F15" s="2" t="n">
        <v>29089</v>
      </c>
      <c r="G15" s="2">
        <f>IFERROR(F15/30,"")</f>
        <v/>
      </c>
      <c r="H15" s="6">
        <f>IFERROR((F15-E15)/E15,"")</f>
        <v/>
      </c>
      <c r="I15" s="6">
        <f>IFERROR((G15-G11)/G11,"")</f>
        <v/>
      </c>
      <c r="J15" s="6">
        <f>IFERROR((G15-G6)/G6,"")</f>
        <v/>
      </c>
      <c r="K15" s="3" t="n">
        <v>26166</v>
      </c>
      <c r="L15" s="6">
        <f>IFERROR(K15/SUM($K$6:$K$23),"")</f>
        <v/>
      </c>
      <c r="M15" s="8" t="n">
        <v>10</v>
      </c>
    </row>
    <row r="16">
      <c r="A16" t="inlineStr">
        <is>
          <t>Casasco</t>
        </is>
      </c>
      <c r="B16" t="inlineStr">
        <is>
          <t>DILCORAN D</t>
        </is>
      </c>
      <c r="C16" t="inlineStr">
        <is>
          <t>80/12.5 mg</t>
        </is>
      </c>
      <c r="D16" t="inlineStr">
        <is>
          <t>80/12.5 mg comp.rec.x 56</t>
        </is>
      </c>
      <c r="E16" s="2" t="n">
        <v>55219.17</v>
      </c>
      <c r="F16" s="2" t="n">
        <v>55605.7</v>
      </c>
      <c r="G16" s="2">
        <f>IFERROR(F16/56,"")</f>
        <v/>
      </c>
      <c r="H16" s="6">
        <f>IFERROR((F16-E16)/E16,"")</f>
        <v/>
      </c>
      <c r="I16" s="6">
        <f>IFERROR((G16-G11)/G11,"")</f>
        <v/>
      </c>
      <c r="J16" s="6">
        <f>IFERROR((G16-G6)/G6,"")</f>
        <v/>
      </c>
      <c r="K16" s="3" t="n">
        <v>20538</v>
      </c>
      <c r="L16" s="6">
        <f>IFERROR(K16/SUM($K$6:$K$23),"")</f>
        <v/>
      </c>
      <c r="M16" s="8" t="n">
        <v>11</v>
      </c>
    </row>
    <row r="17">
      <c r="A17" t="inlineStr">
        <is>
          <t>Fecofar</t>
        </is>
      </c>
      <c r="B17" t="inlineStr">
        <is>
          <t>VALSARFEC D</t>
        </is>
      </c>
      <c r="C17" t="inlineStr">
        <is>
          <t>80/12.5 mg</t>
        </is>
      </c>
      <c r="D17" t="inlineStr">
        <is>
          <t>80/12.5 mg comp.x 28</t>
        </is>
      </c>
      <c r="E17" s="2" t="n">
        <v>24505.11</v>
      </c>
      <c r="F17" s="2" t="n">
        <v>24872.7</v>
      </c>
      <c r="G17" s="2">
        <f>IFERROR(F17/28,"")</f>
        <v/>
      </c>
      <c r="H17" s="6">
        <f>IFERROR((F17-E17)/E17,"")</f>
        <v/>
      </c>
      <c r="I17" s="6">
        <f>IFERROR((G17-G11)/G11,"")</f>
        <v/>
      </c>
      <c r="J17" s="6">
        <f>IFERROR((G17-G6)/G6,"")</f>
        <v/>
      </c>
      <c r="K17" s="3" t="n">
        <v>12061</v>
      </c>
      <c r="L17" s="6">
        <f>IFERROR(K17/SUM($K$6:$K$23),"")</f>
        <v/>
      </c>
      <c r="M17" s="8" t="n">
        <v>12</v>
      </c>
    </row>
    <row r="18">
      <c r="A18" t="inlineStr">
        <is>
          <t>Fecofar</t>
        </is>
      </c>
      <c r="B18" t="inlineStr">
        <is>
          <t>VALSARFEC D</t>
        </is>
      </c>
      <c r="C18" t="inlineStr">
        <is>
          <t>80/12.5 mg</t>
        </is>
      </c>
      <c r="D18" t="inlineStr">
        <is>
          <t>80/12.5 mg comp.x 30</t>
        </is>
      </c>
      <c r="E18" s="2" t="n">
        <v>26385.45</v>
      </c>
      <c r="F18" s="2" t="n">
        <v>26781.24</v>
      </c>
      <c r="G18" s="2">
        <f>IFERROR(F18/30,"")</f>
        <v/>
      </c>
      <c r="H18" s="6">
        <f>IFERROR((F18-E18)/E18,"")</f>
        <v/>
      </c>
      <c r="I18" s="6">
        <f>IFERROR((G18-G11)/G11,"")</f>
        <v/>
      </c>
      <c r="J18" s="6">
        <f>IFERROR((G18-G6)/G6,"")</f>
        <v/>
      </c>
      <c r="K18" s="3" t="n">
        <v>12061</v>
      </c>
      <c r="L18" s="6">
        <f>IFERROR(K18/SUM($K$6:$K$23),"")</f>
        <v/>
      </c>
      <c r="M18" s="8" t="n">
        <v>13</v>
      </c>
    </row>
    <row r="19">
      <c r="A19" t="inlineStr">
        <is>
          <t>Baliarda</t>
        </is>
      </c>
      <c r="B19" t="inlineStr">
        <is>
          <t>SARVAL D 80/12.5</t>
        </is>
      </c>
      <c r="C19" t="inlineStr">
        <is>
          <t>80/12.5 mg</t>
        </is>
      </c>
      <c r="D19" t="inlineStr">
        <is>
          <t>80/12.5 mg comp.rec.x 60</t>
        </is>
      </c>
      <c r="E19" s="2" t="n">
        <v>59287.94</v>
      </c>
      <c r="F19" s="2" t="n">
        <v>59584.38</v>
      </c>
      <c r="G19" s="2">
        <f>IFERROR(F19/60,"")</f>
        <v/>
      </c>
      <c r="H19" s="6">
        <f>IFERROR((F19-E19)/E19,"")</f>
        <v/>
      </c>
      <c r="I19" s="6">
        <f>IFERROR((G19-G11)/G11,"")</f>
        <v/>
      </c>
      <c r="J19" s="6">
        <f>IFERROR((G19-G6)/G6,"")</f>
        <v/>
      </c>
      <c r="K19" s="3" t="n">
        <v>3503</v>
      </c>
      <c r="L19" s="6">
        <f>IFERROR(K19/SUM($K$6:$K$23),"")</f>
        <v/>
      </c>
      <c r="M19" s="8" t="n">
        <v>14</v>
      </c>
    </row>
    <row r="20">
      <c r="A20" t="inlineStr">
        <is>
          <t>Roemmers</t>
        </is>
      </c>
      <c r="B20" t="inlineStr">
        <is>
          <t>RACORVAL D</t>
        </is>
      </c>
      <c r="C20" t="inlineStr">
        <is>
          <t>80/12.5 mg</t>
        </is>
      </c>
      <c r="D20" t="inlineStr">
        <is>
          <t>80/12.5 mg comp.rec.x 60</t>
        </is>
      </c>
      <c r="E20" s="2" t="n">
        <v>59294</v>
      </c>
      <c r="F20" s="2" t="n">
        <v>59709</v>
      </c>
      <c r="G20" s="2">
        <f>IFERROR(F20/60,"")</f>
        <v/>
      </c>
      <c r="H20" s="6">
        <f>IFERROR((F20-E20)/E20,"")</f>
        <v/>
      </c>
      <c r="I20" s="6">
        <f>IFERROR((G20-G11)/G11,"")</f>
        <v/>
      </c>
      <c r="J20" s="6">
        <f>IFERROR((G20-G6)/G6,"")</f>
        <v/>
      </c>
      <c r="K20" s="3" t="n">
        <v>2604</v>
      </c>
      <c r="L20" s="6">
        <f>IFERROR(K20/SUM($K$6:$K$23),"")</f>
        <v/>
      </c>
      <c r="M20" s="8" t="n">
        <v>15</v>
      </c>
    </row>
    <row r="21">
      <c r="A21" t="inlineStr">
        <is>
          <t>Lepetit</t>
        </is>
      </c>
      <c r="B21" t="inlineStr">
        <is>
          <t>VALSALEP D</t>
        </is>
      </c>
      <c r="C21" t="inlineStr">
        <is>
          <t>80/12.5 mg</t>
        </is>
      </c>
      <c r="D21" t="inlineStr">
        <is>
          <t>80/12.5 mg comp.x 30</t>
        </is>
      </c>
      <c r="E21" s="2" t="n">
        <v>33030</v>
      </c>
      <c r="F21" s="2" t="n">
        <v>33690</v>
      </c>
      <c r="G21" s="2">
        <f>IFERROR(F21/30,"")</f>
        <v/>
      </c>
      <c r="H21" s="6">
        <f>IFERROR((F21-E21)/E21,"")</f>
        <v/>
      </c>
      <c r="I21" s="6">
        <f>IFERROR((G21-G11)/G11,"")</f>
        <v/>
      </c>
      <c r="J21" s="6">
        <f>IFERROR((G21-G6)/G6,"")</f>
        <v/>
      </c>
      <c r="K21" s="3" t="n">
        <v>923</v>
      </c>
      <c r="L21" s="6">
        <f>IFERROR(K21/SUM($K$6:$K$23),"")</f>
        <v/>
      </c>
      <c r="M21" s="8" t="n">
        <v>16</v>
      </c>
    </row>
    <row r="22">
      <c r="A22" t="inlineStr">
        <is>
          <t>Casasco</t>
        </is>
      </c>
      <c r="B22" t="inlineStr">
        <is>
          <t>DILCORAN D</t>
        </is>
      </c>
      <c r="C22" t="inlineStr">
        <is>
          <t>80/12.5 mg</t>
        </is>
      </c>
      <c r="D22" t="inlineStr">
        <is>
          <t>80/12.5 mg comp.rec.x30</t>
        </is>
      </c>
      <c r="E22" s="2" t="n">
        <v>30965.8</v>
      </c>
      <c r="F22" s="2" t="n">
        <v>33578.69</v>
      </c>
      <c r="G22" s="2">
        <f>IFERROR(F22/30,"")</f>
        <v/>
      </c>
      <c r="H22" s="6">
        <f>IFERROR((F22-E22)/E22,"")</f>
        <v/>
      </c>
      <c r="I22" s="6">
        <f>IFERROR((G22-G11)/G11,"")</f>
        <v/>
      </c>
      <c r="J22" s="6">
        <f>IFERROR((G22-G6)/G6,"")</f>
        <v/>
      </c>
      <c r="K22" s="3" t="n">
        <v>146</v>
      </c>
      <c r="L22" s="6">
        <f>IFERROR(K22/SUM($K$6:$K$23),"")</f>
        <v/>
      </c>
      <c r="M22" s="8" t="n">
        <v>17</v>
      </c>
    </row>
    <row r="23">
      <c r="A23" t="inlineStr">
        <is>
          <t>Temis-Lostaló</t>
        </is>
      </c>
      <c r="B23" t="inlineStr">
        <is>
          <t>NICORVAS DIUR</t>
        </is>
      </c>
      <c r="C23" t="inlineStr">
        <is>
          <t>80/12.5 mg</t>
        </is>
      </c>
      <c r="D23" t="inlineStr">
        <is>
          <t>80/12.5 mg comp.rec.x30</t>
        </is>
      </c>
      <c r="E23" s="2" t="n">
        <v>31937.72</v>
      </c>
      <c r="F23" s="2" t="n">
        <v>32736.16</v>
      </c>
      <c r="G23" s="2">
        <f>IFERROR(F23/30,"")</f>
        <v/>
      </c>
      <c r="H23" s="6">
        <f>IFERROR((F23-E23)/E23,"")</f>
        <v/>
      </c>
      <c r="I23" s="6">
        <f>IFERROR((G23-G11)/G11,"")</f>
        <v/>
      </c>
      <c r="J23" s="6">
        <f>IFERROR((G23-G6)/G6,"")</f>
        <v/>
      </c>
      <c r="K23" s="3" t="n"/>
      <c r="L23" s="6">
        <f>IFERROR(K23/SUM($K$6:$K$23),"")</f>
        <v/>
      </c>
      <c r="M23" s="8" t="n">
        <v>18</v>
      </c>
    </row>
    <row r="25" ht="20" customHeight="1">
      <c r="A25" s="5" t="inlineStr">
        <is>
          <t>Dosis: 80 mg — valsartan</t>
        </is>
      </c>
    </row>
    <row r="26">
      <c r="A26" t="inlineStr">
        <is>
          <t>Baliarda</t>
        </is>
      </c>
      <c r="B26" t="inlineStr">
        <is>
          <t>SARVAL</t>
        </is>
      </c>
      <c r="C26" t="inlineStr">
        <is>
          <t>80 mg</t>
        </is>
      </c>
      <c r="D26" t="inlineStr">
        <is>
          <t>80 mg comp.rec.x 30</t>
        </is>
      </c>
      <c r="E26" s="2" t="n">
        <v>29854.51</v>
      </c>
      <c r="F26" s="2" t="n">
        <v>29854.51</v>
      </c>
      <c r="G26" s="2">
        <f>IFERROR(F26/30,"")</f>
        <v/>
      </c>
      <c r="H26" s="6">
        <f>IFERROR((F26-E26)/E26,"")</f>
        <v/>
      </c>
      <c r="I26" s="6">
        <f>IFERROR((G26-G31)/G31,"")</f>
        <v/>
      </c>
      <c r="J26" s="7" t="inlineStr">
        <is>
          <t>Líder</t>
        </is>
      </c>
      <c r="K26" s="3" t="n">
        <v>812164</v>
      </c>
      <c r="L26" s="6">
        <f>IFERROR(K26/SUM($K$26:$K$51),"")</f>
        <v/>
      </c>
      <c r="M26" s="8" t="n">
        <v>1</v>
      </c>
    </row>
    <row r="27">
      <c r="A27" t="inlineStr">
        <is>
          <t>Adium</t>
        </is>
      </c>
      <c r="B27" t="inlineStr">
        <is>
          <t>ALPERTAN</t>
        </is>
      </c>
      <c r="C27" t="inlineStr">
        <is>
          <t>80 mg</t>
        </is>
      </c>
      <c r="D27" t="inlineStr">
        <is>
          <t>80 mg comp.rec.x 28</t>
        </is>
      </c>
      <c r="E27" s="2" t="n">
        <v>30464.4</v>
      </c>
      <c r="F27" s="2" t="n">
        <v>32021.95</v>
      </c>
      <c r="G27" s="2">
        <f>IFERROR(F27/28,"")</f>
        <v/>
      </c>
      <c r="H27" s="6">
        <f>IFERROR((F27-E27)/E27,"")</f>
        <v/>
      </c>
      <c r="I27" s="6">
        <f>IFERROR((G27-G31)/G31,"")</f>
        <v/>
      </c>
      <c r="J27" s="6">
        <f>IFERROR((G27-G26)/G26,"")</f>
        <v/>
      </c>
      <c r="K27" s="3" t="n">
        <v>700505</v>
      </c>
      <c r="L27" s="6">
        <f>IFERROR(K27/SUM($K$26:$K$51),"")</f>
        <v/>
      </c>
      <c r="M27" s="8" t="n">
        <v>2</v>
      </c>
    </row>
    <row r="28">
      <c r="A28" t="inlineStr">
        <is>
          <t>Montpellier</t>
        </is>
      </c>
      <c r="B28" t="inlineStr">
        <is>
          <t>DIAPRESAN 80</t>
        </is>
      </c>
      <c r="C28" t="inlineStr">
        <is>
          <t>80 mg</t>
        </is>
      </c>
      <c r="D28" t="inlineStr">
        <is>
          <t>80 mg comp.rec.x 30</t>
        </is>
      </c>
      <c r="E28" s="2" t="n">
        <v>29296.5</v>
      </c>
      <c r="F28" s="2" t="n">
        <v>29589.47</v>
      </c>
      <c r="G28" s="2">
        <f>IFERROR(F28/30,"")</f>
        <v/>
      </c>
      <c r="H28" s="6">
        <f>IFERROR((F28-E28)/E28,"")</f>
        <v/>
      </c>
      <c r="I28" s="6">
        <f>IFERROR((G28-G31)/G31,"")</f>
        <v/>
      </c>
      <c r="J28" s="6">
        <f>IFERROR((G28-G26)/G26,"")</f>
        <v/>
      </c>
      <c r="K28" s="3" t="n">
        <v>403970</v>
      </c>
      <c r="L28" s="6">
        <f>IFERROR(K28/SUM($K$26:$K$51),"")</f>
        <v/>
      </c>
      <c r="M28" s="8" t="n">
        <v>3</v>
      </c>
    </row>
    <row r="29">
      <c r="A29" t="inlineStr">
        <is>
          <t>Roemmers</t>
        </is>
      </c>
      <c r="B29" t="inlineStr">
        <is>
          <t>RACORVAL</t>
        </is>
      </c>
      <c r="C29" t="inlineStr">
        <is>
          <t>80 mg</t>
        </is>
      </c>
      <c r="D29" t="inlineStr">
        <is>
          <t>80 mg comp.rec.x 30</t>
        </is>
      </c>
      <c r="E29" s="2" t="n">
        <v>27820</v>
      </c>
      <c r="F29" s="2" t="n">
        <v>28015</v>
      </c>
      <c r="G29" s="2">
        <f>IFERROR(F29/30,"")</f>
        <v/>
      </c>
      <c r="H29" s="6">
        <f>IFERROR((F29-E29)/E29,"")</f>
        <v/>
      </c>
      <c r="I29" s="6">
        <f>IFERROR((G29-G31)/G31,"")</f>
        <v/>
      </c>
      <c r="J29" s="6">
        <f>IFERROR((G29-G26)/G26,"")</f>
        <v/>
      </c>
      <c r="K29" s="3" t="n">
        <v>360498</v>
      </c>
      <c r="L29" s="6">
        <f>IFERROR(K29/SUM($K$26:$K$51),"")</f>
        <v/>
      </c>
      <c r="M29" s="8" t="n">
        <v>4</v>
      </c>
    </row>
    <row r="30">
      <c r="A30" t="inlineStr">
        <is>
          <t>Casasco</t>
        </is>
      </c>
      <c r="B30" t="inlineStr">
        <is>
          <t>DILCORAN</t>
        </is>
      </c>
      <c r="C30" t="inlineStr">
        <is>
          <t>80 mg</t>
        </is>
      </c>
      <c r="D30" t="inlineStr">
        <is>
          <t>80 mg comp.rec.x 30</t>
        </is>
      </c>
      <c r="E30" s="2" t="n">
        <v>27831.79</v>
      </c>
      <c r="F30" s="2" t="n">
        <v>28026.61</v>
      </c>
      <c r="G30" s="2">
        <f>IFERROR(F30/30,"")</f>
        <v/>
      </c>
      <c r="H30" s="6">
        <f>IFERROR((F30-E30)/E30,"")</f>
        <v/>
      </c>
      <c r="I30" s="6">
        <f>IFERROR((G30-G31)/G31,"")</f>
        <v/>
      </c>
      <c r="J30" s="6">
        <f>IFERROR((G30-G26)/G26,"")</f>
        <v/>
      </c>
      <c r="K30" s="3" t="n">
        <v>233240</v>
      </c>
      <c r="L30" s="6">
        <f>IFERROR(K30/SUM($K$26:$K$51),"")</f>
        <v/>
      </c>
      <c r="M30" s="8" t="n">
        <v>5</v>
      </c>
    </row>
    <row r="31">
      <c r="A31" s="9" t="inlineStr">
        <is>
          <t>Siegfried ★ SIE</t>
        </is>
      </c>
      <c r="B31" s="9" t="inlineStr">
        <is>
          <t>DIOVAN</t>
        </is>
      </c>
      <c r="C31" s="9" t="inlineStr">
        <is>
          <t>80 mg</t>
        </is>
      </c>
      <c r="D31" s="9" t="inlineStr">
        <is>
          <t>80 mg comp.rec.x 28</t>
        </is>
      </c>
      <c r="E31" s="10" t="n">
        <v>30375.74</v>
      </c>
      <c r="F31" s="10" t="n">
        <v>30375.74</v>
      </c>
      <c r="G31" s="10">
        <f>IFERROR(F31/28,"")</f>
        <v/>
      </c>
      <c r="H31" s="11" t="n"/>
      <c r="I31" s="11" t="n"/>
      <c r="J31" s="11">
        <f>IFERROR((G31-G26)/G26,"")</f>
        <v/>
      </c>
      <c r="K31" s="12" t="n">
        <v>191951</v>
      </c>
      <c r="L31" s="11">
        <f>IFERROR(K31/SUM($K$26:$K$51),"")</f>
        <v/>
      </c>
      <c r="M31" s="13" t="n">
        <v>6</v>
      </c>
    </row>
    <row r="32">
      <c r="A32" t="inlineStr">
        <is>
          <t>Lazar</t>
        </is>
      </c>
      <c r="B32" t="inlineStr">
        <is>
          <t>SIMULTAN</t>
        </is>
      </c>
      <c r="C32" t="inlineStr">
        <is>
          <t>80 mg</t>
        </is>
      </c>
      <c r="D32" t="inlineStr">
        <is>
          <t>80 mg comp.rec.x 30</t>
        </is>
      </c>
      <c r="E32" s="2" t="n">
        <v>28452.74</v>
      </c>
      <c r="F32" s="2" t="n">
        <v>29745.92</v>
      </c>
      <c r="G32" s="2">
        <f>IFERROR(F32/30,"")</f>
        <v/>
      </c>
      <c r="H32" s="6">
        <f>IFERROR((F32-E32)/E32,"")</f>
        <v/>
      </c>
      <c r="I32" s="6">
        <f>IFERROR((G32-G31)/G31,"")</f>
        <v/>
      </c>
      <c r="J32" s="6">
        <f>IFERROR((G32-G26)/G26,"")</f>
        <v/>
      </c>
      <c r="K32" s="3" t="n">
        <v>153054</v>
      </c>
      <c r="L32" s="6">
        <f>IFERROR(K32/SUM($K$26:$K$51),"")</f>
        <v/>
      </c>
      <c r="M32" s="8" t="n">
        <v>7</v>
      </c>
    </row>
    <row r="33">
      <c r="A33" t="inlineStr">
        <is>
          <t>Gador</t>
        </is>
      </c>
      <c r="B33" t="inlineStr">
        <is>
          <t>PALIAX</t>
        </is>
      </c>
      <c r="C33" t="inlineStr">
        <is>
          <t>80 mg</t>
        </is>
      </c>
      <c r="D33" t="inlineStr">
        <is>
          <t>80 mg comp.rec.x 30</t>
        </is>
      </c>
      <c r="E33" s="2" t="n">
        <v>28209.17</v>
      </c>
      <c r="F33" s="2" t="n">
        <v>28632.3</v>
      </c>
      <c r="G33" s="2">
        <f>IFERROR(F33/30,"")</f>
        <v/>
      </c>
      <c r="H33" s="6">
        <f>IFERROR((F33-E33)/E33,"")</f>
        <v/>
      </c>
      <c r="I33" s="6">
        <f>IFERROR((G33-G31)/G31,"")</f>
        <v/>
      </c>
      <c r="J33" s="6">
        <f>IFERROR((G33-G26)/G26,"")</f>
        <v/>
      </c>
      <c r="K33" s="3" t="n">
        <v>129330</v>
      </c>
      <c r="L33" s="6">
        <f>IFERROR(K33/SUM($K$26:$K$51),"")</f>
        <v/>
      </c>
      <c r="M33" s="8" t="n">
        <v>8</v>
      </c>
    </row>
    <row r="34">
      <c r="A34" t="inlineStr">
        <is>
          <t>Elea</t>
        </is>
      </c>
      <c r="B34" t="inlineStr">
        <is>
          <t>COROSAN</t>
        </is>
      </c>
      <c r="C34" t="inlineStr">
        <is>
          <t>80 mg</t>
        </is>
      </c>
      <c r="D34" t="inlineStr">
        <is>
          <t>80 mg comp.x 30</t>
        </is>
      </c>
      <c r="E34" s="2" t="n">
        <v>32260.96</v>
      </c>
      <c r="F34" s="2" t="n">
        <v>34225.52</v>
      </c>
      <c r="G34" s="2">
        <f>IFERROR(F34/30,"")</f>
        <v/>
      </c>
      <c r="H34" s="6">
        <f>IFERROR((F34-E34)/E34,"")</f>
        <v/>
      </c>
      <c r="I34" s="6">
        <f>IFERROR((G34-G31)/G31,"")</f>
        <v/>
      </c>
      <c r="J34" s="6">
        <f>IFERROR((G34-G26)/G26,"")</f>
        <v/>
      </c>
      <c r="K34" s="3" t="n">
        <v>109072</v>
      </c>
      <c r="L34" s="6">
        <f>IFERROR(K34/SUM($K$26:$K$51),"")</f>
        <v/>
      </c>
      <c r="M34" s="8" t="n">
        <v>9</v>
      </c>
    </row>
    <row r="35">
      <c r="A35" t="inlineStr">
        <is>
          <t>Roemmers</t>
        </is>
      </c>
      <c r="B35" t="inlineStr">
        <is>
          <t>RACORVAL</t>
        </is>
      </c>
      <c r="C35" t="inlineStr">
        <is>
          <t>80 mg</t>
        </is>
      </c>
      <c r="D35" t="inlineStr">
        <is>
          <t>80 mg comp.rec.x 28</t>
        </is>
      </c>
      <c r="E35" s="2" t="n">
        <v>27031</v>
      </c>
      <c r="F35" s="2" t="n">
        <v>27251</v>
      </c>
      <c r="G35" s="2">
        <f>IFERROR(F35/28,"")</f>
        <v/>
      </c>
      <c r="H35" s="6">
        <f>IFERROR((F35-E35)/E35,"")</f>
        <v/>
      </c>
      <c r="I35" s="6">
        <f>IFERROR((G35-G31)/G31,"")</f>
        <v/>
      </c>
      <c r="J35" s="6">
        <f>IFERROR((G35-G26)/G26,"")</f>
        <v/>
      </c>
      <c r="K35" s="3" t="n">
        <v>107317</v>
      </c>
      <c r="L35" s="6">
        <f>IFERROR(K35/SUM($K$26:$K$51),"")</f>
        <v/>
      </c>
      <c r="M35" s="8" t="n">
        <v>10</v>
      </c>
    </row>
    <row r="36">
      <c r="A36" t="inlineStr">
        <is>
          <t>Casasco</t>
        </is>
      </c>
      <c r="B36" t="inlineStr">
        <is>
          <t>DILCORAN</t>
        </is>
      </c>
      <c r="C36" t="inlineStr">
        <is>
          <t>80 mg</t>
        </is>
      </c>
      <c r="D36" t="inlineStr">
        <is>
          <t>80 mg comp.rec.x 28</t>
        </is>
      </c>
      <c r="E36" s="2" t="n">
        <v>26984.61</v>
      </c>
      <c r="F36" s="2" t="n">
        <v>27173.5</v>
      </c>
      <c r="G36" s="2">
        <f>IFERROR(F36/28,"")</f>
        <v/>
      </c>
      <c r="H36" s="6">
        <f>IFERROR((F36-E36)/E36,"")</f>
        <v/>
      </c>
      <c r="I36" s="6">
        <f>IFERROR((G36-G31)/G31,"")</f>
        <v/>
      </c>
      <c r="J36" s="6">
        <f>IFERROR((G36-G26)/G26,"")</f>
        <v/>
      </c>
      <c r="K36" s="3" t="n">
        <v>84279</v>
      </c>
      <c r="L36" s="6">
        <f>IFERROR(K36/SUM($K$26:$K$51),"")</f>
        <v/>
      </c>
      <c r="M36" s="8" t="n">
        <v>11</v>
      </c>
    </row>
    <row r="37">
      <c r="A37" t="inlineStr">
        <is>
          <t>Casasco</t>
        </is>
      </c>
      <c r="B37" t="inlineStr">
        <is>
          <t>DILCORAN</t>
        </is>
      </c>
      <c r="C37" t="inlineStr">
        <is>
          <t>80 mg</t>
        </is>
      </c>
      <c r="D37" t="inlineStr">
        <is>
          <t>80 mg comp.rec.x 56</t>
        </is>
      </c>
      <c r="E37" s="2" t="n">
        <v>52883.96</v>
      </c>
      <c r="F37" s="2" t="n">
        <v>53254.15</v>
      </c>
      <c r="G37" s="2">
        <f>IFERROR(F37/56,"")</f>
        <v/>
      </c>
      <c r="H37" s="6">
        <f>IFERROR((F37-E37)/E37,"")</f>
        <v/>
      </c>
      <c r="I37" s="6">
        <f>IFERROR((G37-G31)/G31,"")</f>
        <v/>
      </c>
      <c r="J37" s="6">
        <f>IFERROR((G37-G26)/G26,"")</f>
        <v/>
      </c>
      <c r="K37" s="3" t="n">
        <v>64490</v>
      </c>
      <c r="L37" s="6">
        <f>IFERROR(K37/SUM($K$26:$K$51),"")</f>
        <v/>
      </c>
      <c r="M37" s="8" t="n">
        <v>12</v>
      </c>
    </row>
    <row r="38">
      <c r="A38" t="inlineStr">
        <is>
          <t>Fecofar</t>
        </is>
      </c>
      <c r="B38" t="inlineStr">
        <is>
          <t>VALSARFEC</t>
        </is>
      </c>
      <c r="C38" t="inlineStr">
        <is>
          <t>80 mg</t>
        </is>
      </c>
      <c r="D38" t="inlineStr">
        <is>
          <t>80 mg comp.x 28</t>
        </is>
      </c>
      <c r="E38" s="2" t="n">
        <v>22790.36</v>
      </c>
      <c r="F38" s="2" t="n">
        <v>23132.21</v>
      </c>
      <c r="G38" s="2">
        <f>IFERROR(F38/28,"")</f>
        <v/>
      </c>
      <c r="H38" s="6">
        <f>IFERROR((F38-E38)/E38,"")</f>
        <v/>
      </c>
      <c r="I38" s="6">
        <f>IFERROR((G38-G31)/G31,"")</f>
        <v/>
      </c>
      <c r="J38" s="6">
        <f>IFERROR((G38-G26)/G26,"")</f>
        <v/>
      </c>
      <c r="K38" s="3" t="n">
        <v>48217</v>
      </c>
      <c r="L38" s="6">
        <f>IFERROR(K38/SUM($K$26:$K$51),"")</f>
        <v/>
      </c>
      <c r="M38" s="8" t="n">
        <v>13</v>
      </c>
    </row>
    <row r="39">
      <c r="A39" t="inlineStr">
        <is>
          <t>Fecofar</t>
        </is>
      </c>
      <c r="B39" t="inlineStr">
        <is>
          <t>VALSARFEC</t>
        </is>
      </c>
      <c r="C39" t="inlineStr">
        <is>
          <t>80 mg</t>
        </is>
      </c>
      <c r="D39" t="inlineStr">
        <is>
          <t>80 mg comp.x 30</t>
        </is>
      </c>
      <c r="E39" s="2" t="n">
        <v>24539.11</v>
      </c>
      <c r="F39" s="2" t="n">
        <v>24907.19</v>
      </c>
      <c r="G39" s="2">
        <f>IFERROR(F39/30,"")</f>
        <v/>
      </c>
      <c r="H39" s="6">
        <f>IFERROR((F39-E39)/E39,"")</f>
        <v/>
      </c>
      <c r="I39" s="6">
        <f>IFERROR((G39-G31)/G31,"")</f>
        <v/>
      </c>
      <c r="J39" s="6">
        <f>IFERROR((G39-G26)/G26,"")</f>
        <v/>
      </c>
      <c r="K39" s="3" t="n">
        <v>48217</v>
      </c>
      <c r="L39" s="6">
        <f>IFERROR(K39/SUM($K$26:$K$51),"")</f>
        <v/>
      </c>
      <c r="M39" s="8" t="n">
        <v>14</v>
      </c>
    </row>
    <row r="40">
      <c r="A40" t="inlineStr">
        <is>
          <t>Baliarda</t>
        </is>
      </c>
      <c r="B40" t="inlineStr">
        <is>
          <t>SARVAL</t>
        </is>
      </c>
      <c r="C40" t="inlineStr">
        <is>
          <t>80 mg</t>
        </is>
      </c>
      <c r="D40" t="inlineStr">
        <is>
          <t>80 mg comp.rec.x 60</t>
        </is>
      </c>
      <c r="E40" s="2" t="n">
        <v>56460.81</v>
      </c>
      <c r="F40" s="2" t="n">
        <v>56743.11</v>
      </c>
      <c r="G40" s="2">
        <f>IFERROR(F40/60,"")</f>
        <v/>
      </c>
      <c r="H40" s="6">
        <f>IFERROR((F40-E40)/E40,"")</f>
        <v/>
      </c>
      <c r="I40" s="6">
        <f>IFERROR((G40-G31)/G31,"")</f>
        <v/>
      </c>
      <c r="J40" s="6">
        <f>IFERROR((G40-G26)/G26,"")</f>
        <v/>
      </c>
      <c r="K40" s="3" t="n">
        <v>24750</v>
      </c>
      <c r="L40" s="6">
        <f>IFERROR(K40/SUM($K$26:$K$51),"")</f>
        <v/>
      </c>
      <c r="M40" s="8" t="n">
        <v>15</v>
      </c>
    </row>
    <row r="41">
      <c r="A41" t="inlineStr">
        <is>
          <t>Lepetit</t>
        </is>
      </c>
      <c r="B41" t="inlineStr">
        <is>
          <t>VALSALEP</t>
        </is>
      </c>
      <c r="C41" t="inlineStr">
        <is>
          <t>80 mg</t>
        </is>
      </c>
      <c r="D41" t="inlineStr">
        <is>
          <t>80 mg comp.x 30</t>
        </is>
      </c>
      <c r="E41" s="2" t="n">
        <v>30870</v>
      </c>
      <c r="F41" s="2" t="n">
        <v>32170</v>
      </c>
      <c r="G41" s="2">
        <f>IFERROR(F41/30,"")</f>
        <v/>
      </c>
      <c r="H41" s="6">
        <f>IFERROR((F41-E41)/E41,"")</f>
        <v/>
      </c>
      <c r="I41" s="6">
        <f>IFERROR((G41-G31)/G31,"")</f>
        <v/>
      </c>
      <c r="J41" s="6">
        <f>IFERROR((G41-G26)/G26,"")</f>
        <v/>
      </c>
      <c r="K41" s="3" t="n">
        <v>15336</v>
      </c>
      <c r="L41" s="6">
        <f>IFERROR(K41/SUM($K$26:$K$51),"")</f>
        <v/>
      </c>
      <c r="M41" s="8" t="n">
        <v>16</v>
      </c>
    </row>
    <row r="42">
      <c r="A42" t="inlineStr">
        <is>
          <t>Microsules Arg.</t>
        </is>
      </c>
      <c r="B42" t="inlineStr">
        <is>
          <t>SEMANAR</t>
        </is>
      </c>
      <c r="C42" t="inlineStr">
        <is>
          <t>80 mg</t>
        </is>
      </c>
      <c r="D42" t="inlineStr">
        <is>
          <t>80 mg comp.rec.x 28</t>
        </is>
      </c>
      <c r="E42" s="2" t="n">
        <v>32818.13</v>
      </c>
      <c r="F42" s="2" t="n">
        <v>33769.86</v>
      </c>
      <c r="G42" s="2">
        <f>IFERROR(F42/28,"")</f>
        <v/>
      </c>
      <c r="H42" s="6">
        <f>IFERROR((F42-E42)/E42,"")</f>
        <v/>
      </c>
      <c r="I42" s="6">
        <f>IFERROR((G42-G31)/G31,"")</f>
        <v/>
      </c>
      <c r="J42" s="6">
        <f>IFERROR((G42-G26)/G26,"")</f>
        <v/>
      </c>
      <c r="K42" s="3" t="n">
        <v>13267</v>
      </c>
      <c r="L42" s="6">
        <f>IFERROR(K42/SUM($K$26:$K$51),"")</f>
        <v/>
      </c>
      <c r="M42" s="8" t="n">
        <v>17</v>
      </c>
    </row>
    <row r="43">
      <c r="A43" t="inlineStr">
        <is>
          <t>Adium</t>
        </is>
      </c>
      <c r="B43" t="inlineStr">
        <is>
          <t>ALPERTAN</t>
        </is>
      </c>
      <c r="C43" t="inlineStr">
        <is>
          <t>80 mg</t>
        </is>
      </c>
      <c r="D43" t="inlineStr">
        <is>
          <t>80 mg comp.rec.x 14</t>
        </is>
      </c>
      <c r="E43" s="2" t="n">
        <v>17209.99</v>
      </c>
      <c r="F43" s="2" t="n">
        <v>17209.99</v>
      </c>
      <c r="G43" s="2">
        <f>IFERROR(F43/14,"")</f>
        <v/>
      </c>
      <c r="H43" s="6">
        <f>IFERROR((F43-E43)/E43,"")</f>
        <v/>
      </c>
      <c r="I43" s="6">
        <f>IFERROR((G43-G31)/G31,"")</f>
        <v/>
      </c>
      <c r="J43" s="6">
        <f>IFERROR((G43-G26)/G26,"")</f>
        <v/>
      </c>
      <c r="K43" s="3" t="n">
        <v>12624</v>
      </c>
      <c r="L43" s="6">
        <f>IFERROR(K43/SUM($K$26:$K$51),"")</f>
        <v/>
      </c>
      <c r="M43" s="8" t="n">
        <v>18</v>
      </c>
    </row>
    <row r="44">
      <c r="A44" t="inlineStr">
        <is>
          <t>Roemmers</t>
        </is>
      </c>
      <c r="B44" t="inlineStr">
        <is>
          <t>RACORVAL</t>
        </is>
      </c>
      <c r="C44" t="inlineStr">
        <is>
          <t>80 mg</t>
        </is>
      </c>
      <c r="D44" t="inlineStr">
        <is>
          <t>80 mg comp.rec.x 60</t>
        </is>
      </c>
      <c r="E44" s="2" t="n">
        <v>56530</v>
      </c>
      <c r="F44" s="2" t="n">
        <v>56926</v>
      </c>
      <c r="G44" s="2">
        <f>IFERROR(F44/60,"")</f>
        <v/>
      </c>
      <c r="H44" s="6">
        <f>IFERROR((F44-E44)/E44,"")</f>
        <v/>
      </c>
      <c r="I44" s="6">
        <f>IFERROR((G44-G31)/G31,"")</f>
        <v/>
      </c>
      <c r="J44" s="6">
        <f>IFERROR((G44-G26)/G26,"")</f>
        <v/>
      </c>
      <c r="K44" s="3" t="n">
        <v>12059</v>
      </c>
      <c r="L44" s="6">
        <f>IFERROR(K44/SUM($K$26:$K$51),"")</f>
        <v/>
      </c>
      <c r="M44" s="8" t="n">
        <v>19</v>
      </c>
    </row>
    <row r="45">
      <c r="A45" t="inlineStr">
        <is>
          <t>Baliarda</t>
        </is>
      </c>
      <c r="B45" t="inlineStr">
        <is>
          <t>SARVAL</t>
        </is>
      </c>
      <c r="C45" t="inlineStr">
        <is>
          <t>80 mg</t>
        </is>
      </c>
      <c r="D45" t="inlineStr">
        <is>
          <t>80 mg comp.rec.x 15</t>
        </is>
      </c>
      <c r="E45" s="2" t="n">
        <v>16548.82</v>
      </c>
      <c r="F45" s="2" t="n">
        <v>17045.28</v>
      </c>
      <c r="G45" s="2">
        <f>IFERROR(F45/15,"")</f>
        <v/>
      </c>
      <c r="H45" s="6">
        <f>IFERROR((F45-E45)/E45,"")</f>
        <v/>
      </c>
      <c r="I45" s="6">
        <f>IFERROR((G45-G31)/G31,"")</f>
        <v/>
      </c>
      <c r="J45" s="6">
        <f>IFERROR((G45-G26)/G26,"")</f>
        <v/>
      </c>
      <c r="K45" s="3" t="n">
        <v>8394</v>
      </c>
      <c r="L45" s="6">
        <f>IFERROR(K45/SUM($K$26:$K$51),"")</f>
        <v/>
      </c>
      <c r="M45" s="8" t="n">
        <v>20</v>
      </c>
    </row>
    <row r="46">
      <c r="A46" t="inlineStr">
        <is>
          <t>Lepetit</t>
        </is>
      </c>
      <c r="B46" t="inlineStr">
        <is>
          <t>VALSALEP</t>
        </is>
      </c>
      <c r="C46" t="inlineStr">
        <is>
          <t>80 mg</t>
        </is>
      </c>
      <c r="D46" t="inlineStr">
        <is>
          <t>80 mg comp.x 60</t>
        </is>
      </c>
      <c r="E46" s="2" t="n">
        <v>56390</v>
      </c>
      <c r="F46" s="2" t="n">
        <v>56950</v>
      </c>
      <c r="G46" s="2">
        <f>IFERROR(F46/60,"")</f>
        <v/>
      </c>
      <c r="H46" s="6">
        <f>IFERROR((F46-E46)/E46,"")</f>
        <v/>
      </c>
      <c r="I46" s="6">
        <f>IFERROR((G46-G31)/G31,"")</f>
        <v/>
      </c>
      <c r="J46" s="6">
        <f>IFERROR((G46-G26)/G26,"")</f>
        <v/>
      </c>
      <c r="K46" s="3" t="n">
        <v>3422</v>
      </c>
      <c r="L46" s="6">
        <f>IFERROR(K46/SUM($K$26:$K$51),"")</f>
        <v/>
      </c>
      <c r="M46" s="8" t="n">
        <v>21</v>
      </c>
    </row>
    <row r="47">
      <c r="A47" t="inlineStr">
        <is>
          <t>Teva Argentina</t>
        </is>
      </c>
      <c r="B47" t="inlineStr">
        <is>
          <t>HIPREX</t>
        </is>
      </c>
      <c r="C47" t="inlineStr">
        <is>
          <t>80 mg</t>
        </is>
      </c>
      <c r="D47" t="inlineStr">
        <is>
          <t>80 mg comp.rec.x 30</t>
        </is>
      </c>
      <c r="E47" s="2" t="n">
        <v>35430.23</v>
      </c>
      <c r="F47" s="2" t="n">
        <v>37551.44</v>
      </c>
      <c r="G47" s="2">
        <f>IFERROR(F47/30,"")</f>
        <v/>
      </c>
      <c r="H47" s="6">
        <f>IFERROR((F47-E47)/E47,"")</f>
        <v/>
      </c>
      <c r="I47" s="6">
        <f>IFERROR((G47-G31)/G31,"")</f>
        <v/>
      </c>
      <c r="J47" s="6">
        <f>IFERROR((G47-G26)/G26,"")</f>
        <v/>
      </c>
      <c r="K47" s="3" t="n">
        <v>2502</v>
      </c>
      <c r="L47" s="6">
        <f>IFERROR(K47/SUM($K$26:$K$51),"")</f>
        <v/>
      </c>
      <c r="M47" s="8" t="n">
        <v>22</v>
      </c>
    </row>
    <row r="48">
      <c r="A48" t="inlineStr">
        <is>
          <t>Microsules Arg.</t>
        </is>
      </c>
      <c r="B48" t="inlineStr">
        <is>
          <t>SEMANAR</t>
        </is>
      </c>
      <c r="C48" t="inlineStr">
        <is>
          <t>80 mg</t>
        </is>
      </c>
      <c r="D48" t="inlineStr">
        <is>
          <t>80 mg comp.rec.x 14</t>
        </is>
      </c>
      <c r="E48" s="2" t="n">
        <v>16672.79</v>
      </c>
      <c r="F48" s="2" t="n">
        <v>17156.3</v>
      </c>
      <c r="G48" s="2">
        <f>IFERROR(F48/14,"")</f>
        <v/>
      </c>
      <c r="H48" s="6">
        <f>IFERROR((F48-E48)/E48,"")</f>
        <v/>
      </c>
      <c r="I48" s="6">
        <f>IFERROR((G48-G31)/G31,"")</f>
        <v/>
      </c>
      <c r="J48" s="6">
        <f>IFERROR((G48-G26)/G26,"")</f>
        <v/>
      </c>
      <c r="K48" s="3" t="n">
        <v>888</v>
      </c>
      <c r="L48" s="6">
        <f>IFERROR(K48/SUM($K$26:$K$51),"")</f>
        <v/>
      </c>
      <c r="M48" s="8" t="n">
        <v>23</v>
      </c>
    </row>
    <row r="49">
      <c r="A49" t="inlineStr">
        <is>
          <t>Microsules Arg.</t>
        </is>
      </c>
      <c r="B49" t="inlineStr">
        <is>
          <t>SEMANAR</t>
        </is>
      </c>
      <c r="C49" t="inlineStr">
        <is>
          <t>80 mg</t>
        </is>
      </c>
      <c r="D49" t="inlineStr">
        <is>
          <t>80 mg comp.rec.x 30</t>
        </is>
      </c>
      <c r="E49" s="2" t="n">
        <v>32857.98</v>
      </c>
      <c r="F49" s="2" t="n">
        <v>33810.86</v>
      </c>
      <c r="G49" s="2">
        <f>IFERROR(F49/30,"")</f>
        <v/>
      </c>
      <c r="H49" s="6">
        <f>IFERROR((F49-E49)/E49,"")</f>
        <v/>
      </c>
      <c r="I49" s="6">
        <f>IFERROR((G49-G31)/G31,"")</f>
        <v/>
      </c>
      <c r="J49" s="6">
        <f>IFERROR((G49-G26)/G26,"")</f>
        <v/>
      </c>
      <c r="K49" s="3" t="n">
        <v>482</v>
      </c>
      <c r="L49" s="6">
        <f>IFERROR(K49/SUM($K$26:$K$51),"")</f>
        <v/>
      </c>
      <c r="M49" s="8" t="n">
        <v>24</v>
      </c>
    </row>
    <row r="50">
      <c r="A50" t="inlineStr">
        <is>
          <t>Rospaw</t>
        </is>
      </c>
      <c r="B50" t="inlineStr">
        <is>
          <t>TEXOPRAN</t>
        </is>
      </c>
      <c r="C50" t="inlineStr">
        <is>
          <t>80 mg</t>
        </is>
      </c>
      <c r="D50" t="inlineStr">
        <is>
          <t>80 mg comp.rec.x 30</t>
        </is>
      </c>
      <c r="E50" s="2" t="n"/>
      <c r="F50" s="2" t="n">
        <v>23800</v>
      </c>
      <c r="G50" s="2">
        <f>IFERROR(F50/30,"")</f>
        <v/>
      </c>
      <c r="H50" s="6">
        <f>IFERROR((F50-E50)/E50,"")</f>
        <v/>
      </c>
      <c r="I50" s="6">
        <f>IFERROR((G50-G31)/G31,"")</f>
        <v/>
      </c>
      <c r="J50" s="6">
        <f>IFERROR((G50-G26)/G26,"")</f>
        <v/>
      </c>
      <c r="K50" s="3" t="n"/>
      <c r="L50" s="6">
        <f>IFERROR(K50/SUM($K$26:$K$51),"")</f>
        <v/>
      </c>
      <c r="M50" s="8" t="n">
        <v>25</v>
      </c>
    </row>
    <row r="51">
      <c r="A51" t="inlineStr">
        <is>
          <t>Temis-Lostaló</t>
        </is>
      </c>
      <c r="B51" t="inlineStr">
        <is>
          <t>NICORVAS</t>
        </is>
      </c>
      <c r="C51" t="inlineStr">
        <is>
          <t>80 mg</t>
        </is>
      </c>
      <c r="D51" t="inlineStr">
        <is>
          <t>80 mg comp.rec.x 30</t>
        </is>
      </c>
      <c r="E51" s="2" t="n">
        <v>30654.89</v>
      </c>
      <c r="F51" s="2" t="n">
        <v>31421.27</v>
      </c>
      <c r="G51" s="2">
        <f>IFERROR(F51/30,"")</f>
        <v/>
      </c>
      <c r="H51" s="6">
        <f>IFERROR((F51-E51)/E51,"")</f>
        <v/>
      </c>
      <c r="I51" s="6">
        <f>IFERROR((G51-G31)/G31,"")</f>
        <v/>
      </c>
      <c r="J51" s="6">
        <f>IFERROR((G51-G26)/G26,"")</f>
        <v/>
      </c>
      <c r="K51" s="3" t="n"/>
      <c r="L51" s="6">
        <f>IFERROR(K51/SUM($K$26:$K$51),"")</f>
        <v/>
      </c>
      <c r="M51" s="8" t="n">
        <v>26</v>
      </c>
    </row>
    <row r="53" ht="20" customHeight="1">
      <c r="A53" s="5" t="inlineStr">
        <is>
          <t>Dosis: 160/12.5 mg — valsartan+hidroclorotiazida</t>
        </is>
      </c>
    </row>
    <row r="54">
      <c r="A54" t="inlineStr">
        <is>
          <t>Adium</t>
        </is>
      </c>
      <c r="B54" t="inlineStr">
        <is>
          <t>ALPERTAN D</t>
        </is>
      </c>
      <c r="C54" t="inlineStr">
        <is>
          <t>160/12.5 mg</t>
        </is>
      </c>
      <c r="D54" t="inlineStr">
        <is>
          <t>160/12.5 mg comp.rec.x28</t>
        </is>
      </c>
      <c r="E54" s="2" t="n">
        <v>37965.38</v>
      </c>
      <c r="F54" s="2" t="n">
        <v>39906.44</v>
      </c>
      <c r="G54" s="2">
        <f>IFERROR(F54/28,"")</f>
        <v/>
      </c>
      <c r="H54" s="6">
        <f>IFERROR((F54-E54)/E54,"")</f>
        <v/>
      </c>
      <c r="I54" s="6">
        <f>IFERROR((G54-G57)/G57,"")</f>
        <v/>
      </c>
      <c r="J54" s="7" t="inlineStr">
        <is>
          <t>Líder</t>
        </is>
      </c>
      <c r="K54" s="3" t="n">
        <v>513957</v>
      </c>
      <c r="L54" s="6">
        <f>IFERROR(K54/SUM($K$54:$K$70),"")</f>
        <v/>
      </c>
      <c r="M54" s="8" t="n">
        <v>1</v>
      </c>
    </row>
    <row r="55">
      <c r="A55" t="inlineStr">
        <is>
          <t>Baliarda</t>
        </is>
      </c>
      <c r="B55" t="inlineStr">
        <is>
          <t>SARVAL D 160/12.5</t>
        </is>
      </c>
      <c r="C55" t="inlineStr">
        <is>
          <t>160/12.5 mg</t>
        </is>
      </c>
      <c r="D55" t="inlineStr">
        <is>
          <t>160/12.5 mg comp.rec.x30</t>
        </is>
      </c>
      <c r="E55" s="2" t="n">
        <v>35461.93</v>
      </c>
      <c r="F55" s="2" t="n">
        <v>35639.24</v>
      </c>
      <c r="G55" s="2">
        <f>IFERROR(F55/30,"")</f>
        <v/>
      </c>
      <c r="H55" s="6">
        <f>IFERROR((F55-E55)/E55,"")</f>
        <v/>
      </c>
      <c r="I55" s="6">
        <f>IFERROR((G55-G57)/G57,"")</f>
        <v/>
      </c>
      <c r="J55" s="6">
        <f>IFERROR((G55-G54)/G54,"")</f>
        <v/>
      </c>
      <c r="K55" s="3" t="n">
        <v>498962</v>
      </c>
      <c r="L55" s="6">
        <f>IFERROR(K55/SUM($K$54:$K$70),"")</f>
        <v/>
      </c>
      <c r="M55" s="8" t="n">
        <v>2</v>
      </c>
    </row>
    <row r="56">
      <c r="A56" t="inlineStr">
        <is>
          <t>Montpellier</t>
        </is>
      </c>
      <c r="B56" t="inlineStr">
        <is>
          <t>DIAPRESAN D</t>
        </is>
      </c>
      <c r="C56" t="inlineStr">
        <is>
          <t>160/12.5 mg</t>
        </is>
      </c>
      <c r="D56" t="inlineStr">
        <is>
          <t>160/12.5 mg comp.rec.x30</t>
        </is>
      </c>
      <c r="E56" s="2" t="n">
        <v>34868.62</v>
      </c>
      <c r="F56" s="2" t="n">
        <v>35217.31</v>
      </c>
      <c r="G56" s="2">
        <f>IFERROR(F56/30,"")</f>
        <v/>
      </c>
      <c r="H56" s="6">
        <f>IFERROR((F56-E56)/E56,"")</f>
        <v/>
      </c>
      <c r="I56" s="6">
        <f>IFERROR((G56-G57)/G57,"")</f>
        <v/>
      </c>
      <c r="J56" s="6">
        <f>IFERROR((G56-G54)/G54,"")</f>
        <v/>
      </c>
      <c r="K56" s="3" t="n">
        <v>214325</v>
      </c>
      <c r="L56" s="6">
        <f>IFERROR(K56/SUM($K$54:$K$70),"")</f>
        <v/>
      </c>
      <c r="M56" s="8" t="n">
        <v>3</v>
      </c>
    </row>
    <row r="57">
      <c r="A57" s="9" t="inlineStr">
        <is>
          <t>Siegfried ★ SIE</t>
        </is>
      </c>
      <c r="B57" s="9" t="inlineStr">
        <is>
          <t>DIOVAN D</t>
        </is>
      </c>
      <c r="C57" s="9" t="inlineStr">
        <is>
          <t>160/12.5 mg</t>
        </is>
      </c>
      <c r="D57" s="9" t="inlineStr">
        <is>
          <t>160/12.5 mg comp.rec.x28</t>
        </is>
      </c>
      <c r="E57" s="10" t="n">
        <v>42812.81</v>
      </c>
      <c r="F57" s="10" t="n">
        <v>42812.81</v>
      </c>
      <c r="G57" s="10">
        <f>IFERROR(F57/28,"")</f>
        <v/>
      </c>
      <c r="H57" s="11" t="n"/>
      <c r="I57" s="11" t="n"/>
      <c r="J57" s="11">
        <f>IFERROR((G57-G54)/G54,"")</f>
        <v/>
      </c>
      <c r="K57" s="12" t="n">
        <v>161156</v>
      </c>
      <c r="L57" s="11">
        <f>IFERROR(K57/SUM($K$54:$K$70),"")</f>
        <v/>
      </c>
      <c r="M57" s="13" t="n">
        <v>4</v>
      </c>
    </row>
    <row r="58">
      <c r="A58" t="inlineStr">
        <is>
          <t>Casasco</t>
        </is>
      </c>
      <c r="B58" t="inlineStr">
        <is>
          <t>DILCORAN D</t>
        </is>
      </c>
      <c r="C58" t="inlineStr">
        <is>
          <t>160/12.5 mg</t>
        </is>
      </c>
      <c r="D58" t="inlineStr">
        <is>
          <t>160/12.5 mg comp.rec.x28</t>
        </is>
      </c>
      <c r="E58" s="2" t="n">
        <v>32754.94</v>
      </c>
      <c r="F58" s="2" t="n">
        <v>32984.21</v>
      </c>
      <c r="G58" s="2">
        <f>IFERROR(F58/28,"")</f>
        <v/>
      </c>
      <c r="H58" s="6">
        <f>IFERROR((F58-E58)/E58,"")</f>
        <v/>
      </c>
      <c r="I58" s="6">
        <f>IFERROR((G58-G57)/G57,"")</f>
        <v/>
      </c>
      <c r="J58" s="6">
        <f>IFERROR((G58-G54)/G54,"")</f>
        <v/>
      </c>
      <c r="K58" s="3" t="n">
        <v>160919</v>
      </c>
      <c r="L58" s="6">
        <f>IFERROR(K58/SUM($K$54:$K$70),"")</f>
        <v/>
      </c>
      <c r="M58" s="8" t="n">
        <v>5</v>
      </c>
    </row>
    <row r="59">
      <c r="A59" t="inlineStr">
        <is>
          <t>Roemmers</t>
        </is>
      </c>
      <c r="B59" t="inlineStr">
        <is>
          <t>RACORVAL D</t>
        </is>
      </c>
      <c r="C59" t="inlineStr">
        <is>
          <t>160/12.5 mg</t>
        </is>
      </c>
      <c r="D59" t="inlineStr">
        <is>
          <t>160/12.5 mg comp.rec.x28</t>
        </is>
      </c>
      <c r="E59" s="2" t="n">
        <v>33201</v>
      </c>
      <c r="F59" s="2" t="n">
        <v>33551</v>
      </c>
      <c r="G59" s="2">
        <f>IFERROR(F59/28,"")</f>
        <v/>
      </c>
      <c r="H59" s="6">
        <f>IFERROR((F59-E59)/E59,"")</f>
        <v/>
      </c>
      <c r="I59" s="6">
        <f>IFERROR((G59-G57)/G57,"")</f>
        <v/>
      </c>
      <c r="J59" s="6">
        <f>IFERROR((G59-G54)/G54,"")</f>
        <v/>
      </c>
      <c r="K59" s="3" t="n">
        <v>130696</v>
      </c>
      <c r="L59" s="6">
        <f>IFERROR(K59/SUM($K$54:$K$70),"")</f>
        <v/>
      </c>
      <c r="M59" s="8" t="n">
        <v>6</v>
      </c>
    </row>
    <row r="60">
      <c r="A60" t="inlineStr">
        <is>
          <t>Lazar</t>
        </is>
      </c>
      <c r="B60" t="inlineStr">
        <is>
          <t>SIMULTAN D</t>
        </is>
      </c>
      <c r="C60" t="inlineStr">
        <is>
          <t>160/12.5 mg</t>
        </is>
      </c>
      <c r="D60" t="inlineStr">
        <is>
          <t>160/12.5mg comp.rec.x 30</t>
        </is>
      </c>
      <c r="E60" s="2" t="n">
        <v>36520.69</v>
      </c>
      <c r="F60" s="2" t="n">
        <v>38180.55</v>
      </c>
      <c r="G60" s="2">
        <f>IFERROR(F60/30,"")</f>
        <v/>
      </c>
      <c r="H60" s="6">
        <f>IFERROR((F60-E60)/E60,"")</f>
        <v/>
      </c>
      <c r="I60" s="6">
        <f>IFERROR((G60-G57)/G57,"")</f>
        <v/>
      </c>
      <c r="J60" s="6">
        <f>IFERROR((G60-G54)/G54,"")</f>
        <v/>
      </c>
      <c r="K60" s="3" t="n">
        <v>79341</v>
      </c>
      <c r="L60" s="6">
        <f>IFERROR(K60/SUM($K$54:$K$70),"")</f>
        <v/>
      </c>
      <c r="M60" s="8" t="n">
        <v>7</v>
      </c>
    </row>
    <row r="61">
      <c r="A61" t="inlineStr">
        <is>
          <t>Gador</t>
        </is>
      </c>
      <c r="B61" t="inlineStr">
        <is>
          <t>PALIAX D</t>
        </is>
      </c>
      <c r="C61" t="inlineStr">
        <is>
          <t>160/12.5 mg</t>
        </is>
      </c>
      <c r="D61" t="inlineStr">
        <is>
          <t>160/12.5mg comp.rec.x 30</t>
        </is>
      </c>
      <c r="E61" s="2" t="n">
        <v>34166.85</v>
      </c>
      <c r="F61" s="2" t="n">
        <v>34679.36</v>
      </c>
      <c r="G61" s="2">
        <f>IFERROR(F61/30,"")</f>
        <v/>
      </c>
      <c r="H61" s="6">
        <f>IFERROR((F61-E61)/E61,"")</f>
        <v/>
      </c>
      <c r="I61" s="6">
        <f>IFERROR((G61-G57)/G57,"")</f>
        <v/>
      </c>
      <c r="J61" s="6">
        <f>IFERROR((G61-G54)/G54,"")</f>
        <v/>
      </c>
      <c r="K61" s="3" t="n">
        <v>78977</v>
      </c>
      <c r="L61" s="6">
        <f>IFERROR(K61/SUM($K$54:$K$70),"")</f>
        <v/>
      </c>
      <c r="M61" s="8" t="n">
        <v>8</v>
      </c>
    </row>
    <row r="62">
      <c r="A62" t="inlineStr">
        <is>
          <t>Elea</t>
        </is>
      </c>
      <c r="B62" t="inlineStr">
        <is>
          <t>COROSAN D</t>
        </is>
      </c>
      <c r="C62" t="inlineStr">
        <is>
          <t>160/12.5 mg</t>
        </is>
      </c>
      <c r="D62" t="inlineStr">
        <is>
          <t>160/12.5 mg comp.x 30</t>
        </is>
      </c>
      <c r="E62" s="2" t="n">
        <v>40358.66</v>
      </c>
      <c r="F62" s="2" t="n">
        <v>42816.34</v>
      </c>
      <c r="G62" s="2">
        <f>IFERROR(F62/30,"")</f>
        <v/>
      </c>
      <c r="H62" s="6">
        <f>IFERROR((F62-E62)/E62,"")</f>
        <v/>
      </c>
      <c r="I62" s="6">
        <f>IFERROR((G62-G57)/G57,"")</f>
        <v/>
      </c>
      <c r="J62" s="6">
        <f>IFERROR((G62-G54)/G54,"")</f>
        <v/>
      </c>
      <c r="K62" s="3" t="n">
        <v>50490</v>
      </c>
      <c r="L62" s="6">
        <f>IFERROR(K62/SUM($K$54:$K$70),"")</f>
        <v/>
      </c>
      <c r="M62" s="8" t="n">
        <v>9</v>
      </c>
    </row>
    <row r="63">
      <c r="A63" t="inlineStr">
        <is>
          <t>Roemmers</t>
        </is>
      </c>
      <c r="B63" t="inlineStr">
        <is>
          <t>RACORVAL D</t>
        </is>
      </c>
      <c r="C63" t="inlineStr">
        <is>
          <t>160/12.5 mg</t>
        </is>
      </c>
      <c r="D63" t="inlineStr">
        <is>
          <t>160/12.5 mg comp.rec.x30</t>
        </is>
      </c>
      <c r="E63" s="2" t="n">
        <v>34022</v>
      </c>
      <c r="F63" s="2" t="n">
        <v>34260</v>
      </c>
      <c r="G63" s="2">
        <f>IFERROR(F63/30,"")</f>
        <v/>
      </c>
      <c r="H63" s="6">
        <f>IFERROR((F63-E63)/E63,"")</f>
        <v/>
      </c>
      <c r="I63" s="6">
        <f>IFERROR((G63-G57)/G57,"")</f>
        <v/>
      </c>
      <c r="J63" s="6">
        <f>IFERROR((G63-G54)/G54,"")</f>
        <v/>
      </c>
      <c r="K63" s="3" t="n">
        <v>22936</v>
      </c>
      <c r="L63" s="6">
        <f>IFERROR(K63/SUM($K$54:$K$70),"")</f>
        <v/>
      </c>
      <c r="M63" s="8" t="n">
        <v>10</v>
      </c>
    </row>
    <row r="64">
      <c r="A64" t="inlineStr">
        <is>
          <t>Fecofar</t>
        </is>
      </c>
      <c r="B64" t="inlineStr">
        <is>
          <t>VALSARFEC D</t>
        </is>
      </c>
      <c r="C64" t="inlineStr">
        <is>
          <t>160/12.5 mg</t>
        </is>
      </c>
      <c r="D64" t="inlineStr">
        <is>
          <t>160/12.5 mg comp.x 28</t>
        </is>
      </c>
      <c r="E64" s="2" t="n">
        <v>28446.76</v>
      </c>
      <c r="F64" s="2" t="n">
        <v>28873.46</v>
      </c>
      <c r="G64" s="2">
        <f>IFERROR(F64/28,"")</f>
        <v/>
      </c>
      <c r="H64" s="6">
        <f>IFERROR((F64-E64)/E64,"")</f>
        <v/>
      </c>
      <c r="I64" s="6">
        <f>IFERROR((G64-G57)/G57,"")</f>
        <v/>
      </c>
      <c r="J64" s="6">
        <f>IFERROR((G64-G54)/G54,"")</f>
        <v/>
      </c>
      <c r="K64" s="3" t="n">
        <v>19544</v>
      </c>
      <c r="L64" s="6">
        <f>IFERROR(K64/SUM($K$54:$K$70),"")</f>
        <v/>
      </c>
      <c r="M64" s="8" t="n">
        <v>11</v>
      </c>
    </row>
    <row r="65">
      <c r="A65" t="inlineStr">
        <is>
          <t>Fecofar</t>
        </is>
      </c>
      <c r="B65" t="inlineStr">
        <is>
          <t>VALSARFEC D</t>
        </is>
      </c>
      <c r="C65" t="inlineStr">
        <is>
          <t>160/12.5 mg</t>
        </is>
      </c>
      <c r="D65" t="inlineStr">
        <is>
          <t>160/12.5 mg comp.x 30</t>
        </is>
      </c>
      <c r="E65" s="2" t="n">
        <v>30629.55</v>
      </c>
      <c r="F65" s="2" t="n">
        <v>31089</v>
      </c>
      <c r="G65" s="2">
        <f>IFERROR(F65/30,"")</f>
        <v/>
      </c>
      <c r="H65" s="6">
        <f>IFERROR((F65-E65)/E65,"")</f>
        <v/>
      </c>
      <c r="I65" s="6">
        <f>IFERROR((G65-G57)/G57,"")</f>
        <v/>
      </c>
      <c r="J65" s="6">
        <f>IFERROR((G65-G54)/G54,"")</f>
        <v/>
      </c>
      <c r="K65" s="3" t="n">
        <v>19544</v>
      </c>
      <c r="L65" s="6">
        <f>IFERROR(K65/SUM($K$54:$K$70),"")</f>
        <v/>
      </c>
      <c r="M65" s="8" t="n">
        <v>12</v>
      </c>
    </row>
    <row r="66">
      <c r="A66" t="inlineStr">
        <is>
          <t>Casasco</t>
        </is>
      </c>
      <c r="B66" t="inlineStr">
        <is>
          <t>DILCORAN D</t>
        </is>
      </c>
      <c r="C66" t="inlineStr">
        <is>
          <t>160/12.5 mg</t>
        </is>
      </c>
      <c r="D66" t="inlineStr">
        <is>
          <t>160/12.5 mg comp.rec.x56</t>
        </is>
      </c>
      <c r="E66" s="2" t="n">
        <v>62877.72</v>
      </c>
      <c r="F66" s="2" t="n">
        <v>63317.87</v>
      </c>
      <c r="G66" s="2">
        <f>IFERROR(F66/56,"")</f>
        <v/>
      </c>
      <c r="H66" s="6">
        <f>IFERROR((F66-E66)/E66,"")</f>
        <v/>
      </c>
      <c r="I66" s="6">
        <f>IFERROR((G66-G57)/G57,"")</f>
        <v/>
      </c>
      <c r="J66" s="6">
        <f>IFERROR((G66-G54)/G54,"")</f>
        <v/>
      </c>
      <c r="K66" s="3" t="n">
        <v>10989</v>
      </c>
      <c r="L66" s="6">
        <f>IFERROR(K66/SUM($K$54:$K$70),"")</f>
        <v/>
      </c>
      <c r="M66" s="8" t="n">
        <v>13</v>
      </c>
    </row>
    <row r="67">
      <c r="A67" t="inlineStr">
        <is>
          <t>Baliarda</t>
        </is>
      </c>
      <c r="B67" t="inlineStr">
        <is>
          <t>SARVAL D 160/12.5</t>
        </is>
      </c>
      <c r="C67" t="inlineStr">
        <is>
          <t>160/12.5 mg</t>
        </is>
      </c>
      <c r="D67" t="inlineStr">
        <is>
          <t>160/12.5 mg comp.rec.x60</t>
        </is>
      </c>
      <c r="E67" s="2" t="n">
        <v>67184.66</v>
      </c>
      <c r="F67" s="2" t="n">
        <v>67856.50999999999</v>
      </c>
      <c r="G67" s="2">
        <f>IFERROR(F67/60,"")</f>
        <v/>
      </c>
      <c r="H67" s="6">
        <f>IFERROR((F67-E67)/E67,"")</f>
        <v/>
      </c>
      <c r="I67" s="6">
        <f>IFERROR((G67-G57)/G57,"")</f>
        <v/>
      </c>
      <c r="J67" s="6">
        <f>IFERROR((G67-G54)/G54,"")</f>
        <v/>
      </c>
      <c r="K67" s="3" t="n">
        <v>7900</v>
      </c>
      <c r="L67" s="6">
        <f>IFERROR(K67/SUM($K$54:$K$70),"")</f>
        <v/>
      </c>
      <c r="M67" s="8" t="n">
        <v>14</v>
      </c>
    </row>
    <row r="68">
      <c r="A68" t="inlineStr">
        <is>
          <t>Roemmers</t>
        </is>
      </c>
      <c r="B68" t="inlineStr">
        <is>
          <t>RACORVAL D</t>
        </is>
      </c>
      <c r="C68" t="inlineStr">
        <is>
          <t>160/12.5 mg</t>
        </is>
      </c>
      <c r="D68" t="inlineStr">
        <is>
          <t>160/12.5 mg comp.rec.x60</t>
        </is>
      </c>
      <c r="E68" s="2" t="n">
        <v>67519</v>
      </c>
      <c r="F68" s="2" t="n">
        <v>67992</v>
      </c>
      <c r="G68" s="2">
        <f>IFERROR(F68/60,"")</f>
        <v/>
      </c>
      <c r="H68" s="6">
        <f>IFERROR((F68-E68)/E68,"")</f>
        <v/>
      </c>
      <c r="I68" s="6">
        <f>IFERROR((G68-G57)/G57,"")</f>
        <v/>
      </c>
      <c r="J68" s="6">
        <f>IFERROR((G68-G54)/G54,"")</f>
        <v/>
      </c>
      <c r="K68" s="3" t="n">
        <v>2792</v>
      </c>
      <c r="L68" s="6">
        <f>IFERROR(K68/SUM($K$54:$K$70),"")</f>
        <v/>
      </c>
      <c r="M68" s="8" t="n">
        <v>15</v>
      </c>
    </row>
    <row r="69">
      <c r="A69" t="inlineStr">
        <is>
          <t>Lepetit</t>
        </is>
      </c>
      <c r="B69" t="inlineStr">
        <is>
          <t>VALSALEP D</t>
        </is>
      </c>
      <c r="C69" t="inlineStr">
        <is>
          <t>160/12.5 mg</t>
        </is>
      </c>
      <c r="D69" t="inlineStr">
        <is>
          <t>160/12.5 mg comp.x 30</t>
        </is>
      </c>
      <c r="E69" s="2" t="n">
        <v>36890</v>
      </c>
      <c r="F69" s="2" t="n">
        <v>37630</v>
      </c>
      <c r="G69" s="2">
        <f>IFERROR(F69/30,"")</f>
        <v/>
      </c>
      <c r="H69" s="6">
        <f>IFERROR((F69-E69)/E69,"")</f>
        <v/>
      </c>
      <c r="I69" s="6">
        <f>IFERROR((G69-G57)/G57,"")</f>
        <v/>
      </c>
      <c r="J69" s="6">
        <f>IFERROR((G69-G54)/G54,"")</f>
        <v/>
      </c>
      <c r="K69" s="3" t="n">
        <v>2712</v>
      </c>
      <c r="L69" s="6">
        <f>IFERROR(K69/SUM($K$54:$K$70),"")</f>
        <v/>
      </c>
      <c r="M69" s="8" t="n">
        <v>16</v>
      </c>
    </row>
    <row r="70">
      <c r="A70" t="inlineStr">
        <is>
          <t>Casasco</t>
        </is>
      </c>
      <c r="B70" t="inlineStr">
        <is>
          <t>DILCORAN D</t>
        </is>
      </c>
      <c r="C70" t="inlineStr">
        <is>
          <t>160/12.5 mg</t>
        </is>
      </c>
      <c r="D70" t="inlineStr">
        <is>
          <t>160/12.5 mg comp.rec.x30</t>
        </is>
      </c>
      <c r="E70" s="2" t="n">
        <v>33971.4</v>
      </c>
      <c r="F70" s="2" t="n">
        <v>34209.21</v>
      </c>
      <c r="G70" s="2">
        <f>IFERROR(F70/30,"")</f>
        <v/>
      </c>
      <c r="H70" s="6">
        <f>IFERROR((F70-E70)/E70,"")</f>
        <v/>
      </c>
      <c r="I70" s="6">
        <f>IFERROR((G70-G57)/G57,"")</f>
        <v/>
      </c>
      <c r="J70" s="6">
        <f>IFERROR((G70-G54)/G54,"")</f>
        <v/>
      </c>
      <c r="K70" s="3" t="n">
        <v>349</v>
      </c>
      <c r="L70" s="6">
        <f>IFERROR(K70/SUM($K$54:$K$70),"")</f>
        <v/>
      </c>
      <c r="M70" s="8" t="n">
        <v>17</v>
      </c>
    </row>
    <row r="72" ht="20" customHeight="1">
      <c r="A72" s="5" t="inlineStr">
        <is>
          <t>Dosis: 160 mg — valsartan</t>
        </is>
      </c>
    </row>
    <row r="73">
      <c r="A73" t="inlineStr">
        <is>
          <t>Baliarda</t>
        </is>
      </c>
      <c r="B73" t="inlineStr">
        <is>
          <t>SARVAL</t>
        </is>
      </c>
      <c r="C73" t="inlineStr">
        <is>
          <t>160 mg</t>
        </is>
      </c>
      <c r="D73" t="inlineStr">
        <is>
          <t>160 mg comp.rec.x 30</t>
        </is>
      </c>
      <c r="E73" s="2" t="n">
        <v>35824.24</v>
      </c>
      <c r="F73" s="2" t="n">
        <v>35824.24</v>
      </c>
      <c r="G73" s="2">
        <f>IFERROR(F73/30,"")</f>
        <v/>
      </c>
      <c r="H73" s="6">
        <f>IFERROR((F73-E73)/E73,"")</f>
        <v/>
      </c>
      <c r="I73" s="6">
        <f>IFERROR((G73-G77)/G77,"")</f>
        <v/>
      </c>
      <c r="J73" s="7" t="inlineStr">
        <is>
          <t>Líder</t>
        </is>
      </c>
      <c r="K73" s="3" t="n">
        <v>1099347</v>
      </c>
      <c r="L73" s="6">
        <f>IFERROR(K73/SUM($K$73:$K$98),"")</f>
        <v/>
      </c>
      <c r="M73" s="8" t="n">
        <v>1</v>
      </c>
    </row>
    <row r="74">
      <c r="A74" t="inlineStr">
        <is>
          <t>Adium</t>
        </is>
      </c>
      <c r="B74" t="inlineStr">
        <is>
          <t>ALPERTAN</t>
        </is>
      </c>
      <c r="C74" t="inlineStr">
        <is>
          <t>160 mg</t>
        </is>
      </c>
      <c r="D74" t="inlineStr">
        <is>
          <t>160 mg comp.rec.x 28</t>
        </is>
      </c>
      <c r="E74" s="2" t="n">
        <v>39522.5</v>
      </c>
      <c r="F74" s="2" t="n">
        <v>41543.17</v>
      </c>
      <c r="G74" s="2">
        <f>IFERROR(F74/28,"")</f>
        <v/>
      </c>
      <c r="H74" s="6">
        <f>IFERROR((F74-E74)/E74,"")</f>
        <v/>
      </c>
      <c r="I74" s="6">
        <f>IFERROR((G74-G77)/G77,"")</f>
        <v/>
      </c>
      <c r="J74" s="6">
        <f>IFERROR((G74-G73)/G73,"")</f>
        <v/>
      </c>
      <c r="K74" s="3" t="n">
        <v>791106</v>
      </c>
      <c r="L74" s="6">
        <f>IFERROR(K74/SUM($K$73:$K$98),"")</f>
        <v/>
      </c>
      <c r="M74" s="8" t="n">
        <v>2</v>
      </c>
    </row>
    <row r="75">
      <c r="A75" t="inlineStr">
        <is>
          <t>Montpellier</t>
        </is>
      </c>
      <c r="B75" t="inlineStr">
        <is>
          <t>DIAPRESAN 160</t>
        </is>
      </c>
      <c r="C75" t="inlineStr">
        <is>
          <t>160 mg</t>
        </is>
      </c>
      <c r="D75" t="inlineStr">
        <is>
          <t>160 mg comp.rec.x 30</t>
        </is>
      </c>
      <c r="E75" s="2" t="n">
        <v>35086.63</v>
      </c>
      <c r="F75" s="2" t="n">
        <v>35437.5</v>
      </c>
      <c r="G75" s="2">
        <f>IFERROR(F75/30,"")</f>
        <v/>
      </c>
      <c r="H75" s="6">
        <f>IFERROR((F75-E75)/E75,"")</f>
        <v/>
      </c>
      <c r="I75" s="6">
        <f>IFERROR((G75-G77)/G77,"")</f>
        <v/>
      </c>
      <c r="J75" s="6">
        <f>IFERROR((G75-G73)/G73,"")</f>
        <v/>
      </c>
      <c r="K75" s="3" t="n">
        <v>520026</v>
      </c>
      <c r="L75" s="6">
        <f>IFERROR(K75/SUM($K$73:$K$98),"")</f>
        <v/>
      </c>
      <c r="M75" s="8" t="n">
        <v>3</v>
      </c>
    </row>
    <row r="76">
      <c r="A76" t="inlineStr">
        <is>
          <t>Roemmers</t>
        </is>
      </c>
      <c r="B76" t="inlineStr">
        <is>
          <t>RACORVAL</t>
        </is>
      </c>
      <c r="C76" t="inlineStr">
        <is>
          <t>160 mg</t>
        </is>
      </c>
      <c r="D76" t="inlineStr">
        <is>
          <t>160 mg comp.rec.x 30</t>
        </is>
      </c>
      <c r="E76" s="2" t="n">
        <v>33679</v>
      </c>
      <c r="F76" s="2" t="n">
        <v>33915</v>
      </c>
      <c r="G76" s="2">
        <f>IFERROR(F76/30,"")</f>
        <v/>
      </c>
      <c r="H76" s="6">
        <f>IFERROR((F76-E76)/E76,"")</f>
        <v/>
      </c>
      <c r="I76" s="6">
        <f>IFERROR((G76-G77)/G77,"")</f>
        <v/>
      </c>
      <c r="J76" s="6">
        <f>IFERROR((G76-G73)/G73,"")</f>
        <v/>
      </c>
      <c r="K76" s="3" t="n">
        <v>376971</v>
      </c>
      <c r="L76" s="6">
        <f>IFERROR(K76/SUM($K$73:$K$98),"")</f>
        <v/>
      </c>
      <c r="M76" s="8" t="n">
        <v>4</v>
      </c>
    </row>
    <row r="77">
      <c r="A77" s="9" t="inlineStr">
        <is>
          <t>Siegfried ★ SIE</t>
        </is>
      </c>
      <c r="B77" s="9" t="inlineStr">
        <is>
          <t>DIOVAN</t>
        </is>
      </c>
      <c r="C77" s="9" t="inlineStr">
        <is>
          <t>160 mg</t>
        </is>
      </c>
      <c r="D77" s="9" t="inlineStr">
        <is>
          <t>160 mg comp.rec.x 28</t>
        </is>
      </c>
      <c r="E77" s="10" t="n">
        <v>38851.35</v>
      </c>
      <c r="F77" s="10" t="n">
        <v>38851.35</v>
      </c>
      <c r="G77" s="10">
        <f>IFERROR(F77/28,"")</f>
        <v/>
      </c>
      <c r="H77" s="11" t="n"/>
      <c r="I77" s="11" t="n"/>
      <c r="J77" s="11">
        <f>IFERROR((G77-G73)/G73,"")</f>
        <v/>
      </c>
      <c r="K77" s="12" t="n">
        <v>294337</v>
      </c>
      <c r="L77" s="11">
        <f>IFERROR(K77/SUM($K$73:$K$98),"")</f>
        <v/>
      </c>
      <c r="M77" s="13" t="n">
        <v>5</v>
      </c>
    </row>
    <row r="78">
      <c r="A78" t="inlineStr">
        <is>
          <t>Casasco</t>
        </is>
      </c>
      <c r="B78" t="inlineStr">
        <is>
          <t>DILCORAN</t>
        </is>
      </c>
      <c r="C78" t="inlineStr">
        <is>
          <t>160 mg</t>
        </is>
      </c>
      <c r="D78" t="inlineStr">
        <is>
          <t>160 mg comp.rec.x 30</t>
        </is>
      </c>
      <c r="E78" s="2" t="n">
        <v>33637.01</v>
      </c>
      <c r="F78" s="2" t="n">
        <v>34040.65</v>
      </c>
      <c r="G78" s="2">
        <f>IFERROR(F78/30,"")</f>
        <v/>
      </c>
      <c r="H78" s="6">
        <f>IFERROR((F78-E78)/E78,"")</f>
        <v/>
      </c>
      <c r="I78" s="6">
        <f>IFERROR((G78-G77)/G77,"")</f>
        <v/>
      </c>
      <c r="J78" s="6">
        <f>IFERROR((G78-G73)/G73,"")</f>
        <v/>
      </c>
      <c r="K78" s="3" t="n">
        <v>246719</v>
      </c>
      <c r="L78" s="6">
        <f>IFERROR(K78/SUM($K$73:$K$98),"")</f>
        <v/>
      </c>
      <c r="M78" s="8" t="n">
        <v>6</v>
      </c>
    </row>
    <row r="79">
      <c r="A79" t="inlineStr">
        <is>
          <t>Gador</t>
        </is>
      </c>
      <c r="B79" t="inlineStr">
        <is>
          <t>PALIAX</t>
        </is>
      </c>
      <c r="C79" t="inlineStr">
        <is>
          <t>160 mg</t>
        </is>
      </c>
      <c r="D79" t="inlineStr">
        <is>
          <t>160 mg comp.rec.x 30</t>
        </is>
      </c>
      <c r="E79" s="2" t="n">
        <v>35806.13</v>
      </c>
      <c r="F79" s="2" t="n">
        <v>36343.22</v>
      </c>
      <c r="G79" s="2">
        <f>IFERROR(F79/30,"")</f>
        <v/>
      </c>
      <c r="H79" s="6">
        <f>IFERROR((F79-E79)/E79,"")</f>
        <v/>
      </c>
      <c r="I79" s="6">
        <f>IFERROR((G79-G77)/G77,"")</f>
        <v/>
      </c>
      <c r="J79" s="6">
        <f>IFERROR((G79-G73)/G73,"")</f>
        <v/>
      </c>
      <c r="K79" s="3" t="n">
        <v>147177</v>
      </c>
      <c r="L79" s="6">
        <f>IFERROR(K79/SUM($K$73:$K$98),"")</f>
        <v/>
      </c>
      <c r="M79" s="8" t="n">
        <v>7</v>
      </c>
    </row>
    <row r="80">
      <c r="A80" t="inlineStr">
        <is>
          <t>Lazar</t>
        </is>
      </c>
      <c r="B80" t="inlineStr">
        <is>
          <t>SIMULTAN</t>
        </is>
      </c>
      <c r="C80" t="inlineStr">
        <is>
          <t>160 mg</t>
        </is>
      </c>
      <c r="D80" t="inlineStr">
        <is>
          <t>160 mg comp.rec.x 30</t>
        </is>
      </c>
      <c r="E80" s="2" t="n">
        <v>36259.74</v>
      </c>
      <c r="F80" s="2" t="n">
        <v>37907.74</v>
      </c>
      <c r="G80" s="2">
        <f>IFERROR(F80/30,"")</f>
        <v/>
      </c>
      <c r="H80" s="6">
        <f>IFERROR((F80-E80)/E80,"")</f>
        <v/>
      </c>
      <c r="I80" s="6">
        <f>IFERROR((G80-G77)/G77,"")</f>
        <v/>
      </c>
      <c r="J80" s="6">
        <f>IFERROR((G80-G73)/G73,"")</f>
        <v/>
      </c>
      <c r="K80" s="3" t="n">
        <v>142118</v>
      </c>
      <c r="L80" s="6">
        <f>IFERROR(K80/SUM($K$73:$K$98),"")</f>
        <v/>
      </c>
      <c r="M80" s="8" t="n">
        <v>8</v>
      </c>
    </row>
    <row r="81">
      <c r="A81" t="inlineStr">
        <is>
          <t>Elea</t>
        </is>
      </c>
      <c r="B81" t="inlineStr">
        <is>
          <t>COROSAN</t>
        </is>
      </c>
      <c r="C81" t="inlineStr">
        <is>
          <t>160 mg</t>
        </is>
      </c>
      <c r="D81" t="inlineStr">
        <is>
          <t>160 mg comp.x 30</t>
        </is>
      </c>
      <c r="E81" s="2" t="n">
        <v>42087.81</v>
      </c>
      <c r="F81" s="2" t="n">
        <v>44650.79</v>
      </c>
      <c r="G81" s="2">
        <f>IFERROR(F81/30,"")</f>
        <v/>
      </c>
      <c r="H81" s="6">
        <f>IFERROR((F81-E81)/E81,"")</f>
        <v/>
      </c>
      <c r="I81" s="6">
        <f>IFERROR((G81-G77)/G77,"")</f>
        <v/>
      </c>
      <c r="J81" s="6">
        <f>IFERROR((G81-G73)/G73,"")</f>
        <v/>
      </c>
      <c r="K81" s="3" t="n">
        <v>115073</v>
      </c>
      <c r="L81" s="6">
        <f>IFERROR(K81/SUM($K$73:$K$98),"")</f>
        <v/>
      </c>
      <c r="M81" s="8" t="n">
        <v>9</v>
      </c>
    </row>
    <row r="82">
      <c r="A82" t="inlineStr">
        <is>
          <t>Casasco</t>
        </is>
      </c>
      <c r="B82" t="inlineStr">
        <is>
          <t>DILCORAN</t>
        </is>
      </c>
      <c r="C82" t="inlineStr">
        <is>
          <t>160 mg</t>
        </is>
      </c>
      <c r="D82" t="inlineStr">
        <is>
          <t>160 mg comp.rec.x 28</t>
        </is>
      </c>
      <c r="E82" s="2" t="n">
        <v>33724.88</v>
      </c>
      <c r="F82" s="2" t="n">
        <v>33960.94</v>
      </c>
      <c r="G82" s="2">
        <f>IFERROR(F82/28,"")</f>
        <v/>
      </c>
      <c r="H82" s="6">
        <f>IFERROR((F82-E82)/E82,"")</f>
        <v/>
      </c>
      <c r="I82" s="6">
        <f>IFERROR((G82-G77)/G77,"")</f>
        <v/>
      </c>
      <c r="J82" s="6">
        <f>IFERROR((G82-G73)/G73,"")</f>
        <v/>
      </c>
      <c r="K82" s="3" t="n">
        <v>92284</v>
      </c>
      <c r="L82" s="6">
        <f>IFERROR(K82/SUM($K$73:$K$98),"")</f>
        <v/>
      </c>
      <c r="M82" s="8" t="n">
        <v>10</v>
      </c>
    </row>
    <row r="83">
      <c r="A83" t="inlineStr">
        <is>
          <t>Roemmers</t>
        </is>
      </c>
      <c r="B83" t="inlineStr">
        <is>
          <t>RACORVAL</t>
        </is>
      </c>
      <c r="C83" t="inlineStr">
        <is>
          <t>160 mg</t>
        </is>
      </c>
      <c r="D83" t="inlineStr">
        <is>
          <t>160 mg comp.rec.x 28</t>
        </is>
      </c>
      <c r="E83" s="2" t="n">
        <v>35017</v>
      </c>
      <c r="F83" s="2" t="n">
        <v>36032</v>
      </c>
      <c r="G83" s="2">
        <f>IFERROR(F83/28,"")</f>
        <v/>
      </c>
      <c r="H83" s="6">
        <f>IFERROR((F83-E83)/E83,"")</f>
        <v/>
      </c>
      <c r="I83" s="6">
        <f>IFERROR((G83-G77)/G77,"")</f>
        <v/>
      </c>
      <c r="J83" s="6">
        <f>IFERROR((G83-G73)/G73,"")</f>
        <v/>
      </c>
      <c r="K83" s="3" t="n">
        <v>92026</v>
      </c>
      <c r="L83" s="6">
        <f>IFERROR(K83/SUM($K$73:$K$98),"")</f>
        <v/>
      </c>
      <c r="M83" s="8" t="n">
        <v>11</v>
      </c>
    </row>
    <row r="84">
      <c r="A84" t="inlineStr">
        <is>
          <t>Casasco</t>
        </is>
      </c>
      <c r="B84" t="inlineStr">
        <is>
          <t>DILCORAN</t>
        </is>
      </c>
      <c r="C84" t="inlineStr">
        <is>
          <t>160 mg</t>
        </is>
      </c>
      <c r="D84" t="inlineStr">
        <is>
          <t>160 mg comp.rec.x 56</t>
        </is>
      </c>
      <c r="E84" s="2" t="n">
        <v>66213.3</v>
      </c>
      <c r="F84" s="2" t="n">
        <v>66676.79000000001</v>
      </c>
      <c r="G84" s="2">
        <f>IFERROR(F84/56,"")</f>
        <v/>
      </c>
      <c r="H84" s="6">
        <f>IFERROR((F84-E84)/E84,"")</f>
        <v/>
      </c>
      <c r="I84" s="6">
        <f>IFERROR((G84-G77)/G77,"")</f>
        <v/>
      </c>
      <c r="J84" s="6">
        <f>IFERROR((G84-G73)/G73,"")</f>
        <v/>
      </c>
      <c r="K84" s="3" t="n">
        <v>72487</v>
      </c>
      <c r="L84" s="6">
        <f>IFERROR(K84/SUM($K$73:$K$98),"")</f>
        <v/>
      </c>
      <c r="M84" s="8" t="n">
        <v>12</v>
      </c>
    </row>
    <row r="85">
      <c r="A85" t="inlineStr">
        <is>
          <t>Fecofar</t>
        </is>
      </c>
      <c r="B85" t="inlineStr">
        <is>
          <t>VALSARFEC</t>
        </is>
      </c>
      <c r="C85" t="inlineStr">
        <is>
          <t>160 mg</t>
        </is>
      </c>
      <c r="D85" t="inlineStr">
        <is>
          <t>160 mg comp.x 28</t>
        </is>
      </c>
      <c r="E85" s="2" t="n">
        <v>29427.27</v>
      </c>
      <c r="F85" s="2" t="n">
        <v>29868.67</v>
      </c>
      <c r="G85" s="2">
        <f>IFERROR(F85/28,"")</f>
        <v/>
      </c>
      <c r="H85" s="6">
        <f>IFERROR((F85-E85)/E85,"")</f>
        <v/>
      </c>
      <c r="I85" s="6">
        <f>IFERROR((G85-G77)/G77,"")</f>
        <v/>
      </c>
      <c r="J85" s="6">
        <f>IFERROR((G85-G73)/G73,"")</f>
        <v/>
      </c>
      <c r="K85" s="3" t="n">
        <v>61696</v>
      </c>
      <c r="L85" s="6">
        <f>IFERROR(K85/SUM($K$73:$K$98),"")</f>
        <v/>
      </c>
      <c r="M85" s="8" t="n">
        <v>13</v>
      </c>
    </row>
    <row r="86">
      <c r="A86" t="inlineStr">
        <is>
          <t>Fecofar</t>
        </is>
      </c>
      <c r="B86" t="inlineStr">
        <is>
          <t>VALSARFEC</t>
        </is>
      </c>
      <c r="C86" t="inlineStr">
        <is>
          <t>160 mg</t>
        </is>
      </c>
      <c r="D86" t="inlineStr">
        <is>
          <t>160 mg comp.x 30</t>
        </is>
      </c>
      <c r="E86" s="2" t="n">
        <v>31685.31</v>
      </c>
      <c r="F86" s="2" t="n">
        <v>32160.59</v>
      </c>
      <c r="G86" s="2">
        <f>IFERROR(F86/30,"")</f>
        <v/>
      </c>
      <c r="H86" s="6">
        <f>IFERROR((F86-E86)/E86,"")</f>
        <v/>
      </c>
      <c r="I86" s="6">
        <f>IFERROR((G86-G77)/G77,"")</f>
        <v/>
      </c>
      <c r="J86" s="6">
        <f>IFERROR((G86-G73)/G73,"")</f>
        <v/>
      </c>
      <c r="K86" s="3" t="n">
        <v>61696</v>
      </c>
      <c r="L86" s="6">
        <f>IFERROR(K86/SUM($K$73:$K$98),"")</f>
        <v/>
      </c>
      <c r="M86" s="8" t="n">
        <v>14</v>
      </c>
    </row>
    <row r="87">
      <c r="A87" t="inlineStr">
        <is>
          <t>Lepetit</t>
        </is>
      </c>
      <c r="B87" t="inlineStr">
        <is>
          <t>VALSALEP</t>
        </is>
      </c>
      <c r="C87" t="inlineStr">
        <is>
          <t>160 mg</t>
        </is>
      </c>
      <c r="D87" t="inlineStr">
        <is>
          <t>160 mg comp.x 30</t>
        </is>
      </c>
      <c r="E87" s="2" t="n">
        <v>32970</v>
      </c>
      <c r="F87" s="2" t="n">
        <v>33300</v>
      </c>
      <c r="G87" s="2">
        <f>IFERROR(F87/30,"")</f>
        <v/>
      </c>
      <c r="H87" s="6">
        <f>IFERROR((F87-E87)/E87,"")</f>
        <v/>
      </c>
      <c r="I87" s="6">
        <f>IFERROR((G87-G77)/G77,"")</f>
        <v/>
      </c>
      <c r="J87" s="6">
        <f>IFERROR((G87-G73)/G73,"")</f>
        <v/>
      </c>
      <c r="K87" s="3" t="n">
        <v>34268</v>
      </c>
      <c r="L87" s="6">
        <f>IFERROR(K87/SUM($K$73:$K$98),"")</f>
        <v/>
      </c>
      <c r="M87" s="8" t="n">
        <v>15</v>
      </c>
    </row>
    <row r="88">
      <c r="A88" t="inlineStr">
        <is>
          <t>Baliarda</t>
        </is>
      </c>
      <c r="B88" t="inlineStr">
        <is>
          <t>SARVAL</t>
        </is>
      </c>
      <c r="C88" t="inlineStr">
        <is>
          <t>160 mg</t>
        </is>
      </c>
      <c r="D88" t="inlineStr">
        <is>
          <t>160 mg comp.rec.x 60</t>
        </is>
      </c>
      <c r="E88" s="2" t="n">
        <v>69514.10000000001</v>
      </c>
      <c r="F88" s="2" t="n">
        <v>69861.67</v>
      </c>
      <c r="G88" s="2">
        <f>IFERROR(F88/60,"")</f>
        <v/>
      </c>
      <c r="H88" s="6">
        <f>IFERROR((F88-E88)/E88,"")</f>
        <v/>
      </c>
      <c r="I88" s="6">
        <f>IFERROR((G88-G77)/G77,"")</f>
        <v/>
      </c>
      <c r="J88" s="6">
        <f>IFERROR((G88-G73)/G73,"")</f>
        <v/>
      </c>
      <c r="K88" s="3" t="n">
        <v>27612</v>
      </c>
      <c r="L88" s="6">
        <f>IFERROR(K88/SUM($K$73:$K$98),"")</f>
        <v/>
      </c>
      <c r="M88" s="8" t="n">
        <v>16</v>
      </c>
    </row>
    <row r="89">
      <c r="A89" t="inlineStr">
        <is>
          <t>Adium</t>
        </is>
      </c>
      <c r="B89" t="inlineStr">
        <is>
          <t>ALPERTAN</t>
        </is>
      </c>
      <c r="C89" t="inlineStr">
        <is>
          <t>160 mg</t>
        </is>
      </c>
      <c r="D89" t="inlineStr">
        <is>
          <t>160 mg comp.rec.x 14</t>
        </is>
      </c>
      <c r="E89" s="2" t="n">
        <v>21684.23</v>
      </c>
      <c r="F89" s="2" t="n">
        <v>21684.23</v>
      </c>
      <c r="G89" s="2">
        <f>IFERROR(F89/14,"")</f>
        <v/>
      </c>
      <c r="H89" s="6">
        <f>IFERROR((F89-E89)/E89,"")</f>
        <v/>
      </c>
      <c r="I89" s="6">
        <f>IFERROR((G89-G77)/G77,"")</f>
        <v/>
      </c>
      <c r="J89" s="6">
        <f>IFERROR((G89-G73)/G73,"")</f>
        <v/>
      </c>
      <c r="K89" s="3" t="n">
        <v>26391</v>
      </c>
      <c r="L89" s="6">
        <f>IFERROR(K89/SUM($K$73:$K$98),"")</f>
        <v/>
      </c>
      <c r="M89" s="8" t="n">
        <v>17</v>
      </c>
    </row>
    <row r="90">
      <c r="A90" t="inlineStr">
        <is>
          <t>Microsules Arg.</t>
        </is>
      </c>
      <c r="B90" t="inlineStr">
        <is>
          <t>SEMANAR</t>
        </is>
      </c>
      <c r="C90" t="inlineStr">
        <is>
          <t>160 mg</t>
        </is>
      </c>
      <c r="D90" t="inlineStr">
        <is>
          <t>160 mg comp.rec.x 28</t>
        </is>
      </c>
      <c r="E90" s="2" t="n">
        <v>41926.56</v>
      </c>
      <c r="F90" s="2" t="n">
        <v>43142.43</v>
      </c>
      <c r="G90" s="2">
        <f>IFERROR(F90/28,"")</f>
        <v/>
      </c>
      <c r="H90" s="6">
        <f>IFERROR((F90-E90)/E90,"")</f>
        <v/>
      </c>
      <c r="I90" s="6">
        <f>IFERROR((G90-G77)/G77,"")</f>
        <v/>
      </c>
      <c r="J90" s="6">
        <f>IFERROR((G90-G73)/G73,"")</f>
        <v/>
      </c>
      <c r="K90" s="3" t="n">
        <v>15408</v>
      </c>
      <c r="L90" s="6">
        <f>IFERROR(K90/SUM($K$73:$K$98),"")</f>
        <v/>
      </c>
      <c r="M90" s="8" t="n">
        <v>18</v>
      </c>
    </row>
    <row r="91">
      <c r="A91" t="inlineStr">
        <is>
          <t>Roemmers</t>
        </is>
      </c>
      <c r="B91" t="inlineStr">
        <is>
          <t>RACORVAL</t>
        </is>
      </c>
      <c r="C91" t="inlineStr">
        <is>
          <t>160 mg</t>
        </is>
      </c>
      <c r="D91" t="inlineStr">
        <is>
          <t>160 mg comp.rec.x 60</t>
        </is>
      </c>
      <c r="E91" s="2" t="n">
        <v>69603</v>
      </c>
      <c r="F91" s="2" t="n">
        <v>70090</v>
      </c>
      <c r="G91" s="2">
        <f>IFERROR(F91/60,"")</f>
        <v/>
      </c>
      <c r="H91" s="6">
        <f>IFERROR((F91-E91)/E91,"")</f>
        <v/>
      </c>
      <c r="I91" s="6">
        <f>IFERROR((G91-G77)/G77,"")</f>
        <v/>
      </c>
      <c r="J91" s="6">
        <f>IFERROR((G91-G73)/G73,"")</f>
        <v/>
      </c>
      <c r="K91" s="3" t="n">
        <v>10563</v>
      </c>
      <c r="L91" s="6">
        <f>IFERROR(K91/SUM($K$73:$K$98),"")</f>
        <v/>
      </c>
      <c r="M91" s="8" t="n">
        <v>19</v>
      </c>
    </row>
    <row r="92">
      <c r="A92" t="inlineStr">
        <is>
          <t>Baliarda</t>
        </is>
      </c>
      <c r="B92" t="inlineStr">
        <is>
          <t>SARVAL</t>
        </is>
      </c>
      <c r="C92" t="inlineStr">
        <is>
          <t>160 mg</t>
        </is>
      </c>
      <c r="D92" t="inlineStr">
        <is>
          <t>160 mg comp.rec.x 15</t>
        </is>
      </c>
      <c r="E92" s="2" t="n">
        <v>20285.29</v>
      </c>
      <c r="F92" s="2" t="n">
        <v>20691</v>
      </c>
      <c r="G92" s="2">
        <f>IFERROR(F92/15,"")</f>
        <v/>
      </c>
      <c r="H92" s="6">
        <f>IFERROR((F92-E92)/E92,"")</f>
        <v/>
      </c>
      <c r="I92" s="6">
        <f>IFERROR((G92-G77)/G77,"")</f>
        <v/>
      </c>
      <c r="J92" s="6">
        <f>IFERROR((G92-G73)/G73,"")</f>
        <v/>
      </c>
      <c r="K92" s="3" t="n">
        <v>10092</v>
      </c>
      <c r="L92" s="6">
        <f>IFERROR(K92/SUM($K$73:$K$98),"")</f>
        <v/>
      </c>
      <c r="M92" s="8" t="n">
        <v>20</v>
      </c>
    </row>
    <row r="93">
      <c r="A93" t="inlineStr">
        <is>
          <t>Lepetit</t>
        </is>
      </c>
      <c r="B93" t="inlineStr">
        <is>
          <t>VALSALEP</t>
        </is>
      </c>
      <c r="C93" t="inlineStr">
        <is>
          <t>160 mg</t>
        </is>
      </c>
      <c r="D93" t="inlineStr">
        <is>
          <t>160 mg comp.x 60</t>
        </is>
      </c>
      <c r="E93" s="2" t="n">
        <v>68860</v>
      </c>
      <c r="F93" s="2" t="n">
        <v>69550</v>
      </c>
      <c r="G93" s="2">
        <f>IFERROR(F93/60,"")</f>
        <v/>
      </c>
      <c r="H93" s="6">
        <f>IFERROR((F93-E93)/E93,"")</f>
        <v/>
      </c>
      <c r="I93" s="6">
        <f>IFERROR((G93-G77)/G77,"")</f>
        <v/>
      </c>
      <c r="J93" s="6">
        <f>IFERROR((G93-G73)/G73,"")</f>
        <v/>
      </c>
      <c r="K93" s="3" t="n">
        <v>4470</v>
      </c>
      <c r="L93" s="6">
        <f>IFERROR(K93/SUM($K$73:$K$98),"")</f>
        <v/>
      </c>
      <c r="M93" s="8" t="n">
        <v>21</v>
      </c>
    </row>
    <row r="94">
      <c r="A94" t="inlineStr">
        <is>
          <t>Teva Argentina</t>
        </is>
      </c>
      <c r="B94" t="inlineStr">
        <is>
          <t>HIPREX</t>
        </is>
      </c>
      <c r="C94" t="inlineStr">
        <is>
          <t>160 mg</t>
        </is>
      </c>
      <c r="D94" t="inlineStr">
        <is>
          <t>160 mg comp.rec.x 30</t>
        </is>
      </c>
      <c r="E94" s="2" t="n">
        <v>45751.41</v>
      </c>
      <c r="F94" s="2" t="n">
        <v>48490.54</v>
      </c>
      <c r="G94" s="2">
        <f>IFERROR(F94/30,"")</f>
        <v/>
      </c>
      <c r="H94" s="6">
        <f>IFERROR((F94-E94)/E94,"")</f>
        <v/>
      </c>
      <c r="I94" s="6">
        <f>IFERROR((G94-G77)/G77,"")</f>
        <v/>
      </c>
      <c r="J94" s="6">
        <f>IFERROR((G94-G73)/G73,"")</f>
        <v/>
      </c>
      <c r="K94" s="3" t="n">
        <v>1602</v>
      </c>
      <c r="L94" s="6">
        <f>IFERROR(K94/SUM($K$73:$K$98),"")</f>
        <v/>
      </c>
      <c r="M94" s="8" t="n">
        <v>22</v>
      </c>
    </row>
    <row r="95">
      <c r="A95" t="inlineStr">
        <is>
          <t>Microsules Arg.</t>
        </is>
      </c>
      <c r="B95" t="inlineStr">
        <is>
          <t>SEMANAR</t>
        </is>
      </c>
      <c r="C95" t="inlineStr">
        <is>
          <t>160 mg</t>
        </is>
      </c>
      <c r="D95" t="inlineStr">
        <is>
          <t>160 mg comp.rec.x 14</t>
        </is>
      </c>
      <c r="E95" s="2" t="n">
        <v>19732.02</v>
      </c>
      <c r="F95" s="2" t="n">
        <v>20304.25</v>
      </c>
      <c r="G95" s="2">
        <f>IFERROR(F95/14,"")</f>
        <v/>
      </c>
      <c r="H95" s="6">
        <f>IFERROR((F95-E95)/E95,"")</f>
        <v/>
      </c>
      <c r="I95" s="6">
        <f>IFERROR((G95-G77)/G77,"")</f>
        <v/>
      </c>
      <c r="J95" s="6">
        <f>IFERROR((G95-G73)/G73,"")</f>
        <v/>
      </c>
      <c r="K95" s="3" t="n">
        <v>1154</v>
      </c>
      <c r="L95" s="6">
        <f>IFERROR(K95/SUM($K$73:$K$98),"")</f>
        <v/>
      </c>
      <c r="M95" s="8" t="n">
        <v>23</v>
      </c>
    </row>
    <row r="96">
      <c r="A96" t="inlineStr">
        <is>
          <t>Microsules Arg.</t>
        </is>
      </c>
      <c r="B96" t="inlineStr">
        <is>
          <t>SEMANAR</t>
        </is>
      </c>
      <c r="C96" t="inlineStr">
        <is>
          <t>160 mg</t>
        </is>
      </c>
      <c r="D96" t="inlineStr">
        <is>
          <t>160 mg comp.rec.x 30</t>
        </is>
      </c>
      <c r="E96" s="2" t="n">
        <v>41998.03</v>
      </c>
      <c r="F96" s="2" t="n">
        <v>43215.97</v>
      </c>
      <c r="G96" s="2">
        <f>IFERROR(F96/30,"")</f>
        <v/>
      </c>
      <c r="H96" s="6">
        <f>IFERROR((F96-E96)/E96,"")</f>
        <v/>
      </c>
      <c r="I96" s="6">
        <f>IFERROR((G96-G77)/G77,"")</f>
        <v/>
      </c>
      <c r="J96" s="6">
        <f>IFERROR((G96-G73)/G73,"")</f>
        <v/>
      </c>
      <c r="K96" s="3" t="n">
        <v>248</v>
      </c>
      <c r="L96" s="6">
        <f>IFERROR(K96/SUM($K$73:$K$98),"")</f>
        <v/>
      </c>
      <c r="M96" s="8" t="n">
        <v>24</v>
      </c>
    </row>
    <row r="97">
      <c r="A97" t="inlineStr">
        <is>
          <t>Rospaw</t>
        </is>
      </c>
      <c r="B97" t="inlineStr">
        <is>
          <t>TEXOPRAN</t>
        </is>
      </c>
      <c r="C97" t="inlineStr">
        <is>
          <t>160 mg</t>
        </is>
      </c>
      <c r="D97" t="inlineStr">
        <is>
          <t>160 mg comp.rec.x 30</t>
        </is>
      </c>
      <c r="E97" s="2" t="n"/>
      <c r="F97" s="2" t="n">
        <v>29900</v>
      </c>
      <c r="G97" s="2">
        <f>IFERROR(F97/30,"")</f>
        <v/>
      </c>
      <c r="H97" s="6">
        <f>IFERROR((F97-E97)/E97,"")</f>
        <v/>
      </c>
      <c r="I97" s="6">
        <f>IFERROR((G97-G77)/G77,"")</f>
        <v/>
      </c>
      <c r="J97" s="6">
        <f>IFERROR((G97-G73)/G73,"")</f>
        <v/>
      </c>
      <c r="K97" s="3" t="n"/>
      <c r="L97" s="6">
        <f>IFERROR(K97/SUM($K$73:$K$98),"")</f>
        <v/>
      </c>
      <c r="M97" s="8" t="n">
        <v>25</v>
      </c>
    </row>
    <row r="98">
      <c r="A98" t="inlineStr">
        <is>
          <t>Temis-Lostaló</t>
        </is>
      </c>
      <c r="B98" t="inlineStr">
        <is>
          <t>NICORVAS</t>
        </is>
      </c>
      <c r="C98" t="inlineStr">
        <is>
          <t>160 mg</t>
        </is>
      </c>
      <c r="D98" t="inlineStr">
        <is>
          <t>160 mg comp.rec.x 30</t>
        </is>
      </c>
      <c r="E98" s="2" t="n">
        <v>36833.53</v>
      </c>
      <c r="F98" s="2" t="n">
        <v>37754.37</v>
      </c>
      <c r="G98" s="2">
        <f>IFERROR(F98/30,"")</f>
        <v/>
      </c>
      <c r="H98" s="6">
        <f>IFERROR((F98-E98)/E98,"")</f>
        <v/>
      </c>
      <c r="I98" s="6">
        <f>IFERROR((G98-G77)/G77,"")</f>
        <v/>
      </c>
      <c r="J98" s="6">
        <f>IFERROR((G98-G73)/G73,"")</f>
        <v/>
      </c>
      <c r="K98" s="3" t="n"/>
      <c r="L98" s="6">
        <f>IFERROR(K98/SUM($K$73:$K$98),"")</f>
        <v/>
      </c>
      <c r="M98" s="8" t="n">
        <v>26</v>
      </c>
    </row>
    <row r="100" ht="20" customHeight="1">
      <c r="A100" s="5" t="inlineStr">
        <is>
          <t>Dosis: 160/25 mg — valsartan+hidroclorotiazida</t>
        </is>
      </c>
    </row>
    <row r="101">
      <c r="A101" t="inlineStr">
        <is>
          <t>Baliarda</t>
        </is>
      </c>
      <c r="B101" t="inlineStr">
        <is>
          <t>SARVAL D 160/25</t>
        </is>
      </c>
      <c r="C101" t="inlineStr">
        <is>
          <t>160/25 mg</t>
        </is>
      </c>
      <c r="D101" t="inlineStr">
        <is>
          <t>160/25 mg comp.rec.x 30</t>
        </is>
      </c>
      <c r="E101" s="2" t="n">
        <v>44093.38</v>
      </c>
      <c r="F101" s="2" t="n">
        <v>44534.31</v>
      </c>
      <c r="G101" s="2">
        <f>IFERROR(F101/30,"")</f>
        <v/>
      </c>
      <c r="H101" s="6">
        <f>IFERROR((F101-E101)/E101,"")</f>
        <v/>
      </c>
      <c r="I101" s="6">
        <f>IFERROR((G101-G103)/G103,"")</f>
        <v/>
      </c>
      <c r="J101" s="7" t="inlineStr">
        <is>
          <t>Líder</t>
        </is>
      </c>
      <c r="K101" s="3" t="n">
        <v>129373</v>
      </c>
      <c r="L101" s="6">
        <f>IFERROR(K101/SUM($K$101:$K$111),"")</f>
        <v/>
      </c>
      <c r="M101" s="8" t="n">
        <v>1</v>
      </c>
    </row>
    <row r="102">
      <c r="A102" t="inlineStr">
        <is>
          <t>Montpellier</t>
        </is>
      </c>
      <c r="B102" t="inlineStr">
        <is>
          <t>DIAPRESAN D</t>
        </is>
      </c>
      <c r="C102" t="inlineStr">
        <is>
          <t>160/25 mg</t>
        </is>
      </c>
      <c r="D102" t="inlineStr">
        <is>
          <t>160/25 mg comp.rec.x30</t>
        </is>
      </c>
      <c r="E102" s="2" t="n">
        <v>43093.89</v>
      </c>
      <c r="F102" s="2" t="n">
        <v>43524.83</v>
      </c>
      <c r="G102" s="2">
        <f>IFERROR(F102/30,"")</f>
        <v/>
      </c>
      <c r="H102" s="6">
        <f>IFERROR((F102-E102)/E102,"")</f>
        <v/>
      </c>
      <c r="I102" s="6">
        <f>IFERROR((G102-G103)/G103,"")</f>
        <v/>
      </c>
      <c r="J102" s="6">
        <f>IFERROR((G102-G101)/G101,"")</f>
        <v/>
      </c>
      <c r="K102" s="3" t="n">
        <v>63121</v>
      </c>
      <c r="L102" s="6">
        <f>IFERROR(K102/SUM($K$101:$K$111),"")</f>
        <v/>
      </c>
      <c r="M102" s="8" t="n">
        <v>2</v>
      </c>
    </row>
    <row r="103">
      <c r="A103" s="9" t="inlineStr">
        <is>
          <t>Siegfried ★ SIE</t>
        </is>
      </c>
      <c r="B103" s="9" t="inlineStr">
        <is>
          <t>DIOVAN D</t>
        </is>
      </c>
      <c r="C103" s="9" t="inlineStr">
        <is>
          <t>160/25 mg</t>
        </is>
      </c>
      <c r="D103" s="9" t="inlineStr">
        <is>
          <t>160/25 mg comp.rec.x 28</t>
        </is>
      </c>
      <c r="E103" s="10" t="n">
        <v>43397.41</v>
      </c>
      <c r="F103" s="10" t="n">
        <v>43397.41</v>
      </c>
      <c r="G103" s="10">
        <f>IFERROR(F103/28,"")</f>
        <v/>
      </c>
      <c r="H103" s="11" t="n"/>
      <c r="I103" s="11" t="n"/>
      <c r="J103" s="11">
        <f>IFERROR((G103-G101)/G101,"")</f>
        <v/>
      </c>
      <c r="K103" s="12" t="n">
        <v>51337</v>
      </c>
      <c r="L103" s="11">
        <f>IFERROR(K103/SUM($K$101:$K$111),"")</f>
        <v/>
      </c>
      <c r="M103" s="13" t="n">
        <v>3</v>
      </c>
    </row>
    <row r="104">
      <c r="A104" t="inlineStr">
        <is>
          <t>Gador</t>
        </is>
      </c>
      <c r="B104" t="inlineStr">
        <is>
          <t>PALIAX D</t>
        </is>
      </c>
      <c r="C104" t="inlineStr">
        <is>
          <t>160/25 mg</t>
        </is>
      </c>
      <c r="D104" t="inlineStr">
        <is>
          <t>160/25 mg comp.rec.x 30</t>
        </is>
      </c>
      <c r="E104" s="2" t="n">
        <v>41150.06</v>
      </c>
      <c r="F104" s="2" t="n">
        <v>41767.31</v>
      </c>
      <c r="G104" s="2">
        <f>IFERROR(F104/30,"")</f>
        <v/>
      </c>
      <c r="H104" s="6">
        <f>IFERROR((F104-E104)/E104,"")</f>
        <v/>
      </c>
      <c r="I104" s="6">
        <f>IFERROR((G104-G103)/G103,"")</f>
        <v/>
      </c>
      <c r="J104" s="6">
        <f>IFERROR((G104-G101)/G101,"")</f>
        <v/>
      </c>
      <c r="K104" s="3" t="n">
        <v>28783</v>
      </c>
      <c r="L104" s="6">
        <f>IFERROR(K104/SUM($K$101:$K$111),"")</f>
        <v/>
      </c>
      <c r="M104" s="8" t="n">
        <v>4</v>
      </c>
    </row>
    <row r="105">
      <c r="A105" t="inlineStr">
        <is>
          <t>Lazar</t>
        </is>
      </c>
      <c r="B105" t="inlineStr">
        <is>
          <t>SIMULTAN D</t>
        </is>
      </c>
      <c r="C105" t="inlineStr">
        <is>
          <t>160/25 mg</t>
        </is>
      </c>
      <c r="D105" t="inlineStr">
        <is>
          <t>160/25 mg comp.rec.x 30</t>
        </is>
      </c>
      <c r="E105" s="2" t="n">
        <v>42086.13</v>
      </c>
      <c r="F105" s="2" t="n">
        <v>43998.95</v>
      </c>
      <c r="G105" s="2">
        <f>IFERROR(F105/30,"")</f>
        <v/>
      </c>
      <c r="H105" s="6">
        <f>IFERROR((F105-E105)/E105,"")</f>
        <v/>
      </c>
      <c r="I105" s="6">
        <f>IFERROR((G105-G103)/G103,"")</f>
        <v/>
      </c>
      <c r="J105" s="6">
        <f>IFERROR((G105-G101)/G101,"")</f>
        <v/>
      </c>
      <c r="K105" s="3" t="n">
        <v>20961</v>
      </c>
      <c r="L105" s="6">
        <f>IFERROR(K105/SUM($K$101:$K$111),"")</f>
        <v/>
      </c>
      <c r="M105" s="8" t="n">
        <v>5</v>
      </c>
    </row>
    <row r="106">
      <c r="A106" t="inlineStr">
        <is>
          <t>Fecofar</t>
        </is>
      </c>
      <c r="B106" t="inlineStr">
        <is>
          <t>VALSARFEC D</t>
        </is>
      </c>
      <c r="C106" t="inlineStr">
        <is>
          <t>160/25 mg</t>
        </is>
      </c>
      <c r="D106" t="inlineStr">
        <is>
          <t>160/25mg comp.x 28</t>
        </is>
      </c>
      <c r="E106" s="2" t="n">
        <v>33045.34</v>
      </c>
      <c r="F106" s="2" t="n">
        <v>33541.02</v>
      </c>
      <c r="G106" s="2">
        <f>IFERROR(F106/28,"")</f>
        <v/>
      </c>
      <c r="H106" s="6">
        <f>IFERROR((F106-E106)/E106,"")</f>
        <v/>
      </c>
      <c r="I106" s="6">
        <f>IFERROR((G106-G103)/G103,"")</f>
        <v/>
      </c>
      <c r="J106" s="6">
        <f>IFERROR((G106-G101)/G101,"")</f>
        <v/>
      </c>
      <c r="K106" s="3" t="n">
        <v>2698</v>
      </c>
      <c r="L106" s="6">
        <f>IFERROR(K106/SUM($K$101:$K$111),"")</f>
        <v/>
      </c>
      <c r="M106" s="8" t="n">
        <v>6</v>
      </c>
    </row>
    <row r="107">
      <c r="A107" t="inlineStr">
        <is>
          <t>Fecofar</t>
        </is>
      </c>
      <c r="B107" t="inlineStr">
        <is>
          <t>VALSARFEC D</t>
        </is>
      </c>
      <c r="C107" t="inlineStr">
        <is>
          <t>160/25 mg</t>
        </is>
      </c>
      <c r="D107" t="inlineStr">
        <is>
          <t>160/25 mg comp.x 30</t>
        </is>
      </c>
      <c r="E107" s="2" t="n">
        <v>35580.99</v>
      </c>
      <c r="F107" s="2" t="n">
        <v>36114.7</v>
      </c>
      <c r="G107" s="2">
        <f>IFERROR(F107/30,"")</f>
        <v/>
      </c>
      <c r="H107" s="6">
        <f>IFERROR((F107-E107)/E107,"")</f>
        <v/>
      </c>
      <c r="I107" s="6">
        <f>IFERROR((G107-G103)/G103,"")</f>
        <v/>
      </c>
      <c r="J107" s="6">
        <f>IFERROR((G107-G101)/G101,"")</f>
        <v/>
      </c>
      <c r="K107" s="3" t="n">
        <v>2698</v>
      </c>
      <c r="L107" s="6">
        <f>IFERROR(K107/SUM($K$101:$K$111),"")</f>
        <v/>
      </c>
      <c r="M107" s="8" t="n">
        <v>7</v>
      </c>
    </row>
    <row r="108">
      <c r="A108" t="inlineStr">
        <is>
          <t>Baliarda</t>
        </is>
      </c>
      <c r="B108" t="inlineStr">
        <is>
          <t>SARVAL D 160/25</t>
        </is>
      </c>
      <c r="C108" t="inlineStr">
        <is>
          <t>160/25 mg</t>
        </is>
      </c>
      <c r="D108" t="inlineStr">
        <is>
          <t>160/25 mg comp.rec.x 60</t>
        </is>
      </c>
      <c r="E108" s="2" t="n">
        <v>85272.66</v>
      </c>
      <c r="F108" s="2" t="n">
        <v>86125.39</v>
      </c>
      <c r="G108" s="2">
        <f>IFERROR(F108/60,"")</f>
        <v/>
      </c>
      <c r="H108" s="6">
        <f>IFERROR((F108-E108)/E108,"")</f>
        <v/>
      </c>
      <c r="I108" s="6">
        <f>IFERROR((G108-G103)/G103,"")</f>
        <v/>
      </c>
      <c r="J108" s="6">
        <f>IFERROR((G108-G101)/G101,"")</f>
        <v/>
      </c>
      <c r="K108" s="3" t="n">
        <v>1869</v>
      </c>
      <c r="L108" s="6">
        <f>IFERROR(K108/SUM($K$101:$K$111),"")</f>
        <v/>
      </c>
      <c r="M108" s="8" t="n">
        <v>8</v>
      </c>
    </row>
    <row r="109">
      <c r="A109" t="inlineStr">
        <is>
          <t>Lepetit</t>
        </is>
      </c>
      <c r="B109" t="inlineStr">
        <is>
          <t>VALSALEP D</t>
        </is>
      </c>
      <c r="C109" t="inlineStr">
        <is>
          <t>160/25 mg</t>
        </is>
      </c>
      <c r="D109" t="inlineStr">
        <is>
          <t>160/25 mg comp.x 30</t>
        </is>
      </c>
      <c r="E109" s="2" t="n">
        <v>40020</v>
      </c>
      <c r="F109" s="2" t="n">
        <v>40820</v>
      </c>
      <c r="G109" s="2">
        <f>IFERROR(F109/30,"")</f>
        <v/>
      </c>
      <c r="H109" s="6">
        <f>IFERROR((F109-E109)/E109,"")</f>
        <v/>
      </c>
      <c r="I109" s="6">
        <f>IFERROR((G109-G103)/G103,"")</f>
        <v/>
      </c>
      <c r="J109" s="6">
        <f>IFERROR((G109-G101)/G101,"")</f>
        <v/>
      </c>
      <c r="K109" s="3" t="n">
        <v>531</v>
      </c>
      <c r="L109" s="6">
        <f>IFERROR(K109/SUM($K$101:$K$111),"")</f>
        <v/>
      </c>
      <c r="M109" s="8" t="n">
        <v>9</v>
      </c>
    </row>
    <row r="110">
      <c r="A110" t="inlineStr">
        <is>
          <t>Casasco</t>
        </is>
      </c>
      <c r="B110" t="inlineStr">
        <is>
          <t>DILCORAN D</t>
        </is>
      </c>
      <c r="C110" t="inlineStr">
        <is>
          <t>160/25 mg</t>
        </is>
      </c>
      <c r="D110" t="inlineStr">
        <is>
          <t>160/25 mg comp.rec.x30</t>
        </is>
      </c>
      <c r="E110" s="2" t="n">
        <v>42181.71</v>
      </c>
      <c r="F110" s="2" t="n">
        <v>42476.97</v>
      </c>
      <c r="G110" s="2">
        <f>IFERROR(F110/30,"")</f>
        <v/>
      </c>
      <c r="H110" s="6">
        <f>IFERROR((F110-E110)/E110,"")</f>
        <v/>
      </c>
      <c r="I110" s="6">
        <f>IFERROR((G110-G103)/G103,"")</f>
        <v/>
      </c>
      <c r="J110" s="6">
        <f>IFERROR((G110-G101)/G101,"")</f>
        <v/>
      </c>
      <c r="K110" s="3" t="n"/>
      <c r="L110" s="6">
        <f>IFERROR(K110/SUM($K$101:$K$111),"")</f>
        <v/>
      </c>
      <c r="M110" s="8" t="n">
        <v>10</v>
      </c>
    </row>
    <row r="111">
      <c r="A111" t="inlineStr">
        <is>
          <t>Temis-Lostaló</t>
        </is>
      </c>
      <c r="B111" t="inlineStr">
        <is>
          <t>NICORVAS DIUR</t>
        </is>
      </c>
      <c r="C111" t="inlineStr">
        <is>
          <t>160/25 mg</t>
        </is>
      </c>
      <c r="D111" t="inlineStr">
        <is>
          <t>160/25 mg comp.rec.x30</t>
        </is>
      </c>
      <c r="E111" s="2" t="n">
        <v>44251.79</v>
      </c>
      <c r="F111" s="2" t="n">
        <v>45358.09</v>
      </c>
      <c r="G111" s="2">
        <f>IFERROR(F111/30,"")</f>
        <v/>
      </c>
      <c r="H111" s="6">
        <f>IFERROR((F111-E111)/E111,"")</f>
        <v/>
      </c>
      <c r="I111" s="6">
        <f>IFERROR((G111-G103)/G103,"")</f>
        <v/>
      </c>
      <c r="J111" s="6">
        <f>IFERROR((G111-G101)/G101,"")</f>
        <v/>
      </c>
      <c r="K111" s="3" t="n"/>
      <c r="L111" s="6">
        <f>IFERROR(K111/SUM($K$101:$K$111),"")</f>
        <v/>
      </c>
      <c r="M111" s="8" t="n">
        <v>11</v>
      </c>
    </row>
    <row r="113" ht="20" customHeight="1">
      <c r="A113" s="5" t="inlineStr">
        <is>
          <t>Dosis: 320 mg — valsartan</t>
        </is>
      </c>
    </row>
    <row r="114">
      <c r="A114" t="inlineStr">
        <is>
          <t>Baliarda</t>
        </is>
      </c>
      <c r="B114" t="inlineStr">
        <is>
          <t>SARVAL</t>
        </is>
      </c>
      <c r="C114" t="inlineStr">
        <is>
          <t>320 mg</t>
        </is>
      </c>
      <c r="D114" t="inlineStr">
        <is>
          <t>320 mg comp.rec.x 30</t>
        </is>
      </c>
      <c r="E114" s="2" t="n">
        <v>39960.52</v>
      </c>
      <c r="F114" s="2" t="n">
        <v>39960.52</v>
      </c>
      <c r="G114" s="2">
        <f>IFERROR(F114/30,"")</f>
        <v/>
      </c>
      <c r="H114" s="6">
        <f>IFERROR((F114-E114)/E114,"")</f>
        <v/>
      </c>
      <c r="I114" s="6">
        <f>IFERROR((G114-G117)/G117,"")</f>
        <v/>
      </c>
      <c r="J114" s="7" t="inlineStr">
        <is>
          <t>Líder</t>
        </is>
      </c>
      <c r="K114" s="3" t="n">
        <v>213539</v>
      </c>
      <c r="L114" s="6">
        <f>IFERROR(K114/SUM($K$114:$K$130),"")</f>
        <v/>
      </c>
      <c r="M114" s="8" t="n">
        <v>1</v>
      </c>
    </row>
    <row r="115">
      <c r="A115" t="inlineStr">
        <is>
          <t>Adium</t>
        </is>
      </c>
      <c r="B115" t="inlineStr">
        <is>
          <t>ALPERTAN</t>
        </is>
      </c>
      <c r="C115" t="inlineStr">
        <is>
          <t>320 mg</t>
        </is>
      </c>
      <c r="D115" t="inlineStr">
        <is>
          <t>320 mg comp.rec.x 28</t>
        </is>
      </c>
      <c r="E115" s="2" t="n">
        <v>41901.43</v>
      </c>
      <c r="F115" s="2" t="n">
        <v>44043.72</v>
      </c>
      <c r="G115" s="2">
        <f>IFERROR(F115/28,"")</f>
        <v/>
      </c>
      <c r="H115" s="6">
        <f>IFERROR((F115-E115)/E115,"")</f>
        <v/>
      </c>
      <c r="I115" s="6">
        <f>IFERROR((G115-G117)/G117,"")</f>
        <v/>
      </c>
      <c r="J115" s="6">
        <f>IFERROR((G115-G114)/G114,"")</f>
        <v/>
      </c>
      <c r="K115" s="3" t="n">
        <v>107560</v>
      </c>
      <c r="L115" s="6">
        <f>IFERROR(K115/SUM($K$114:$K$130),"")</f>
        <v/>
      </c>
      <c r="M115" s="8" t="n">
        <v>2</v>
      </c>
    </row>
    <row r="116">
      <c r="A116" t="inlineStr">
        <is>
          <t>Roemmers</t>
        </is>
      </c>
      <c r="B116" t="inlineStr">
        <is>
          <t>RACORVAL</t>
        </is>
      </c>
      <c r="C116" t="inlineStr">
        <is>
          <t>320 mg</t>
        </is>
      </c>
      <c r="D116" t="inlineStr">
        <is>
          <t>320 mg comp.rec.x 30</t>
        </is>
      </c>
      <c r="E116" s="2" t="n">
        <v>37790</v>
      </c>
      <c r="F116" s="2" t="n">
        <v>38554</v>
      </c>
      <c r="G116" s="2">
        <f>IFERROR(F116/30,"")</f>
        <v/>
      </c>
      <c r="H116" s="6">
        <f>IFERROR((F116-E116)/E116,"")</f>
        <v/>
      </c>
      <c r="I116" s="6">
        <f>IFERROR((G116-G117)/G117,"")</f>
        <v/>
      </c>
      <c r="J116" s="6">
        <f>IFERROR((G116-G114)/G114,"")</f>
        <v/>
      </c>
      <c r="K116" s="3" t="n">
        <v>65218</v>
      </c>
      <c r="L116" s="6">
        <f>IFERROR(K116/SUM($K$114:$K$130),"")</f>
        <v/>
      </c>
      <c r="M116" s="8" t="n">
        <v>3</v>
      </c>
    </row>
    <row r="117">
      <c r="A117" s="9" t="inlineStr">
        <is>
          <t>Siegfried ★ SIE</t>
        </is>
      </c>
      <c r="B117" s="9" t="inlineStr">
        <is>
          <t>DIOVAN</t>
        </is>
      </c>
      <c r="C117" s="9" t="inlineStr">
        <is>
          <t>320 mg</t>
        </is>
      </c>
      <c r="D117" s="9" t="inlineStr">
        <is>
          <t>320 mg comp.rec.x 28</t>
        </is>
      </c>
      <c r="E117" s="10" t="n">
        <v>42878.9</v>
      </c>
      <c r="F117" s="10" t="n">
        <v>42878.9</v>
      </c>
      <c r="G117" s="10">
        <f>IFERROR(F117/28,"")</f>
        <v/>
      </c>
      <c r="H117" s="11" t="n"/>
      <c r="I117" s="11" t="n"/>
      <c r="J117" s="11">
        <f>IFERROR((G117-G114)/G114,"")</f>
        <v/>
      </c>
      <c r="K117" s="12" t="n">
        <v>41421</v>
      </c>
      <c r="L117" s="11">
        <f>IFERROR(K117/SUM($K$114:$K$130),"")</f>
        <v/>
      </c>
      <c r="M117" s="13" t="n">
        <v>4</v>
      </c>
    </row>
    <row r="118">
      <c r="A118" t="inlineStr">
        <is>
          <t>Gador</t>
        </is>
      </c>
      <c r="B118" t="inlineStr">
        <is>
          <t>PALIAX</t>
        </is>
      </c>
      <c r="C118" t="inlineStr">
        <is>
          <t>320 mg</t>
        </is>
      </c>
      <c r="D118" t="inlineStr">
        <is>
          <t>320 mg comp.rec.x 30</t>
        </is>
      </c>
      <c r="E118" s="2" t="n">
        <v>38659.3</v>
      </c>
      <c r="F118" s="2" t="n">
        <v>39239.2</v>
      </c>
      <c r="G118" s="2">
        <f>IFERROR(F118/30,"")</f>
        <v/>
      </c>
      <c r="H118" s="6">
        <f>IFERROR((F118-E118)/E118,"")</f>
        <v/>
      </c>
      <c r="I118" s="6">
        <f>IFERROR((G118-G117)/G117,"")</f>
        <v/>
      </c>
      <c r="J118" s="6">
        <f>IFERROR((G118-G114)/G114,"")</f>
        <v/>
      </c>
      <c r="K118" s="3" t="n">
        <v>27619</v>
      </c>
      <c r="L118" s="6">
        <f>IFERROR(K118/SUM($K$114:$K$130),"")</f>
        <v/>
      </c>
      <c r="M118" s="8" t="n">
        <v>5</v>
      </c>
    </row>
    <row r="119">
      <c r="A119" t="inlineStr">
        <is>
          <t>Montpellier</t>
        </is>
      </c>
      <c r="B119" t="inlineStr">
        <is>
          <t>DIAPRESAN 320</t>
        </is>
      </c>
      <c r="C119" t="inlineStr">
        <is>
          <t>320 mg</t>
        </is>
      </c>
      <c r="D119" t="inlineStr">
        <is>
          <t>320 mg comp.rec.x 30</t>
        </is>
      </c>
      <c r="E119" s="2" t="n">
        <v>39674.81</v>
      </c>
      <c r="F119" s="2" t="n">
        <v>40071.55</v>
      </c>
      <c r="G119" s="2">
        <f>IFERROR(F119/30,"")</f>
        <v/>
      </c>
      <c r="H119" s="6">
        <f>IFERROR((F119-E119)/E119,"")</f>
        <v/>
      </c>
      <c r="I119" s="6">
        <f>IFERROR((G119-G117)/G117,"")</f>
        <v/>
      </c>
      <c r="J119" s="6">
        <f>IFERROR((G119-G114)/G114,"")</f>
        <v/>
      </c>
      <c r="K119" s="3" t="n">
        <v>23583</v>
      </c>
      <c r="L119" s="6">
        <f>IFERROR(K119/SUM($K$114:$K$130),"")</f>
        <v/>
      </c>
      <c r="M119" s="8" t="n">
        <v>6</v>
      </c>
    </row>
    <row r="120">
      <c r="A120" t="inlineStr">
        <is>
          <t>Casasco</t>
        </is>
      </c>
      <c r="B120" t="inlineStr">
        <is>
          <t>DILCORAN</t>
        </is>
      </c>
      <c r="C120" t="inlineStr">
        <is>
          <t>320 mg</t>
        </is>
      </c>
      <c r="D120" t="inlineStr">
        <is>
          <t>320 mg comp.rec.x 30</t>
        </is>
      </c>
      <c r="E120" s="2" t="n">
        <v>37628.34</v>
      </c>
      <c r="F120" s="2" t="n">
        <v>38380.92</v>
      </c>
      <c r="G120" s="2">
        <f>IFERROR(F120/30,"")</f>
        <v/>
      </c>
      <c r="H120" s="6">
        <f>IFERROR((F120-E120)/E120,"")</f>
        <v/>
      </c>
      <c r="I120" s="6">
        <f>IFERROR((G120-G117)/G117,"")</f>
        <v/>
      </c>
      <c r="J120" s="6">
        <f>IFERROR((G120-G114)/G114,"")</f>
        <v/>
      </c>
      <c r="K120" s="3" t="n">
        <v>22715</v>
      </c>
      <c r="L120" s="6">
        <f>IFERROR(K120/SUM($K$114:$K$130),"")</f>
        <v/>
      </c>
      <c r="M120" s="8" t="n">
        <v>7</v>
      </c>
    </row>
    <row r="121">
      <c r="A121" t="inlineStr">
        <is>
          <t>Lazar</t>
        </is>
      </c>
      <c r="B121" t="inlineStr">
        <is>
          <t>SIMULTAN</t>
        </is>
      </c>
      <c r="C121" t="inlineStr">
        <is>
          <t>320 mg</t>
        </is>
      </c>
      <c r="D121" t="inlineStr">
        <is>
          <t>320 mg comp.rec.x 30</t>
        </is>
      </c>
      <c r="E121" s="2" t="n">
        <v>39194.52</v>
      </c>
      <c r="F121" s="2" t="n">
        <v>40975.93</v>
      </c>
      <c r="G121" s="2">
        <f>IFERROR(F121/30,"")</f>
        <v/>
      </c>
      <c r="H121" s="6">
        <f>IFERROR((F121-E121)/E121,"")</f>
        <v/>
      </c>
      <c r="I121" s="6">
        <f>IFERROR((G121-G117)/G117,"")</f>
        <v/>
      </c>
      <c r="J121" s="6">
        <f>IFERROR((G121-G114)/G114,"")</f>
        <v/>
      </c>
      <c r="K121" s="3" t="n">
        <v>22462</v>
      </c>
      <c r="L121" s="6">
        <f>IFERROR(K121/SUM($K$114:$K$130),"")</f>
        <v/>
      </c>
      <c r="M121" s="8" t="n">
        <v>8</v>
      </c>
    </row>
    <row r="122">
      <c r="A122" t="inlineStr">
        <is>
          <t>Elea</t>
        </is>
      </c>
      <c r="B122" t="inlineStr">
        <is>
          <t>COROSAN</t>
        </is>
      </c>
      <c r="C122" t="inlineStr">
        <is>
          <t>320 mg</t>
        </is>
      </c>
      <c r="D122" t="inlineStr">
        <is>
          <t>320 mg comp.x 30</t>
        </is>
      </c>
      <c r="E122" s="2" t="n">
        <v>48033.22</v>
      </c>
      <c r="F122" s="2" t="n">
        <v>50958.25</v>
      </c>
      <c r="G122" s="2">
        <f>IFERROR(F122/30,"")</f>
        <v/>
      </c>
      <c r="H122" s="6">
        <f>IFERROR((F122-E122)/E122,"")</f>
        <v/>
      </c>
      <c r="I122" s="6">
        <f>IFERROR((G122-G117)/G117,"")</f>
        <v/>
      </c>
      <c r="J122" s="6">
        <f>IFERROR((G122-G114)/G114,"")</f>
        <v/>
      </c>
      <c r="K122" s="3" t="n">
        <v>11928</v>
      </c>
      <c r="L122" s="6">
        <f>IFERROR(K122/SUM($K$114:$K$130),"")</f>
        <v/>
      </c>
      <c r="M122" s="8" t="n">
        <v>9</v>
      </c>
    </row>
    <row r="123">
      <c r="A123" t="inlineStr">
        <is>
          <t>Fecofar</t>
        </is>
      </c>
      <c r="B123" t="inlineStr">
        <is>
          <t>VALSARFEC</t>
        </is>
      </c>
      <c r="C123" t="inlineStr">
        <is>
          <t>320 mg</t>
        </is>
      </c>
      <c r="D123" t="inlineStr">
        <is>
          <t>320 mg comp.x 28</t>
        </is>
      </c>
      <c r="E123" s="2" t="n">
        <v>31635.31</v>
      </c>
      <c r="F123" s="2" t="n">
        <v>32109.83</v>
      </c>
      <c r="G123" s="2">
        <f>IFERROR(F123/28,"")</f>
        <v/>
      </c>
      <c r="H123" s="6">
        <f>IFERROR((F123-E123)/E123,"")</f>
        <v/>
      </c>
      <c r="I123" s="6">
        <f>IFERROR((G123-G117)/G117,"")</f>
        <v/>
      </c>
      <c r="J123" s="6">
        <f>IFERROR((G123-G114)/G114,"")</f>
        <v/>
      </c>
      <c r="K123" s="3" t="n">
        <v>10006</v>
      </c>
      <c r="L123" s="6">
        <f>IFERROR(K123/SUM($K$114:$K$130),"")</f>
        <v/>
      </c>
      <c r="M123" s="8" t="n">
        <v>10</v>
      </c>
    </row>
    <row r="124">
      <c r="A124" t="inlineStr">
        <is>
          <t>Fecofar</t>
        </is>
      </c>
      <c r="B124" t="inlineStr">
        <is>
          <t>VALSARFEC</t>
        </is>
      </c>
      <c r="C124" t="inlineStr">
        <is>
          <t>320 mg</t>
        </is>
      </c>
      <c r="D124" t="inlineStr">
        <is>
          <t>320 mg comp.x 30</t>
        </is>
      </c>
      <c r="E124" s="2" t="n">
        <v>34062.76</v>
      </c>
      <c r="F124" s="2" t="n">
        <v>34573.7</v>
      </c>
      <c r="G124" s="2">
        <f>IFERROR(F124/30,"")</f>
        <v/>
      </c>
      <c r="H124" s="6">
        <f>IFERROR((F124-E124)/E124,"")</f>
        <v/>
      </c>
      <c r="I124" s="6">
        <f>IFERROR((G124-G117)/G117,"")</f>
        <v/>
      </c>
      <c r="J124" s="6">
        <f>IFERROR((G124-G114)/G114,"")</f>
        <v/>
      </c>
      <c r="K124" s="3" t="n">
        <v>10006</v>
      </c>
      <c r="L124" s="6">
        <f>IFERROR(K124/SUM($K$114:$K$130),"")</f>
        <v/>
      </c>
      <c r="M124" s="8" t="n">
        <v>11</v>
      </c>
    </row>
    <row r="125">
      <c r="A125" t="inlineStr">
        <is>
          <t>Casasco</t>
        </is>
      </c>
      <c r="B125" t="inlineStr">
        <is>
          <t>DILCORAN</t>
        </is>
      </c>
      <c r="C125" t="inlineStr">
        <is>
          <t>320 mg</t>
        </is>
      </c>
      <c r="D125" t="inlineStr">
        <is>
          <t>320 mg comp.rec.x 28</t>
        </is>
      </c>
      <c r="E125" s="2" t="n">
        <v>37285.02</v>
      </c>
      <c r="F125" s="2" t="n">
        <v>37285.02</v>
      </c>
      <c r="G125" s="2">
        <f>IFERROR(F125/28,"")</f>
        <v/>
      </c>
      <c r="H125" s="6">
        <f>IFERROR((F125-E125)/E125,"")</f>
        <v/>
      </c>
      <c r="I125" s="6">
        <f>IFERROR((G125-G117)/G117,"")</f>
        <v/>
      </c>
      <c r="J125" s="6">
        <f>IFERROR((G125-G114)/G114,"")</f>
        <v/>
      </c>
      <c r="K125" s="3" t="n">
        <v>7795</v>
      </c>
      <c r="L125" s="6">
        <f>IFERROR(K125/SUM($K$114:$K$130),"")</f>
        <v/>
      </c>
      <c r="M125" s="8" t="n">
        <v>12</v>
      </c>
    </row>
    <row r="126">
      <c r="A126" t="inlineStr">
        <is>
          <t>Baliarda</t>
        </is>
      </c>
      <c r="B126" t="inlineStr">
        <is>
          <t>SARVAL</t>
        </is>
      </c>
      <c r="C126" t="inlineStr">
        <is>
          <t>320 mg</t>
        </is>
      </c>
      <c r="D126" t="inlineStr">
        <is>
          <t>320 mg comp.rec.x 60</t>
        </is>
      </c>
      <c r="E126" s="2" t="n">
        <v>78692.89</v>
      </c>
      <c r="F126" s="2" t="n">
        <v>79086.35000000001</v>
      </c>
      <c r="G126" s="2">
        <f>IFERROR(F126/60,"")</f>
        <v/>
      </c>
      <c r="H126" s="6">
        <f>IFERROR((F126-E126)/E126,"")</f>
        <v/>
      </c>
      <c r="I126" s="6">
        <f>IFERROR((G126-G117)/G117,"")</f>
        <v/>
      </c>
      <c r="J126" s="6">
        <f>IFERROR((G126-G114)/G114,"")</f>
        <v/>
      </c>
      <c r="K126" s="3" t="n">
        <v>4138</v>
      </c>
      <c r="L126" s="6">
        <f>IFERROR(K126/SUM($K$114:$K$130),"")</f>
        <v/>
      </c>
      <c r="M126" s="8" t="n">
        <v>13</v>
      </c>
    </row>
    <row r="127">
      <c r="A127" t="inlineStr">
        <is>
          <t>Lepetit</t>
        </is>
      </c>
      <c r="B127" t="inlineStr">
        <is>
          <t>VALSALEP</t>
        </is>
      </c>
      <c r="C127" t="inlineStr">
        <is>
          <t>320 mg</t>
        </is>
      </c>
      <c r="D127" t="inlineStr">
        <is>
          <t>320 mg comp.rec.x 30</t>
        </is>
      </c>
      <c r="E127" s="2" t="n">
        <v>36710</v>
      </c>
      <c r="F127" s="2" t="n">
        <v>36710</v>
      </c>
      <c r="G127" s="2">
        <f>IFERROR(F127/30,"")</f>
        <v/>
      </c>
      <c r="H127" s="6">
        <f>IFERROR((F127-E127)/E127,"")</f>
        <v/>
      </c>
      <c r="I127" s="6">
        <f>IFERROR((G127-G117)/G117,"")</f>
        <v/>
      </c>
      <c r="J127" s="6">
        <f>IFERROR((G127-G114)/G114,"")</f>
        <v/>
      </c>
      <c r="K127" s="3" t="n">
        <v>3349</v>
      </c>
      <c r="L127" s="6">
        <f>IFERROR(K127/SUM($K$114:$K$130),"")</f>
        <v/>
      </c>
      <c r="M127" s="8" t="n">
        <v>14</v>
      </c>
    </row>
    <row r="128">
      <c r="A128" t="inlineStr">
        <is>
          <t>Roemmers</t>
        </is>
      </c>
      <c r="B128" t="inlineStr">
        <is>
          <t>RACORVAL</t>
        </is>
      </c>
      <c r="C128" t="inlineStr">
        <is>
          <t>320 mg</t>
        </is>
      </c>
      <c r="D128" t="inlineStr">
        <is>
          <t>320 mg comp.rec.x 60</t>
        </is>
      </c>
      <c r="E128" s="2" t="n">
        <v>78888</v>
      </c>
      <c r="F128" s="2" t="n">
        <v>79440</v>
      </c>
      <c r="G128" s="2">
        <f>IFERROR(F128/60,"")</f>
        <v/>
      </c>
      <c r="H128" s="6">
        <f>IFERROR((F128-E128)/E128,"")</f>
        <v/>
      </c>
      <c r="I128" s="6">
        <f>IFERROR((G128-G117)/G117,"")</f>
        <v/>
      </c>
      <c r="J128" s="6">
        <f>IFERROR((G128-G114)/G114,"")</f>
        <v/>
      </c>
      <c r="K128" s="3" t="n">
        <v>1109</v>
      </c>
      <c r="L128" s="6">
        <f>IFERROR(K128/SUM($K$114:$K$130),"")</f>
        <v/>
      </c>
      <c r="M128" s="8" t="n">
        <v>15</v>
      </c>
    </row>
    <row r="129">
      <c r="A129" t="inlineStr">
        <is>
          <t>Lepetit</t>
        </is>
      </c>
      <c r="B129" t="inlineStr">
        <is>
          <t>VALSALEP</t>
        </is>
      </c>
      <c r="C129" t="inlineStr">
        <is>
          <t>320 mg</t>
        </is>
      </c>
      <c r="D129" t="inlineStr">
        <is>
          <t>320 mg comp.rec.x 60</t>
        </is>
      </c>
      <c r="E129" s="2" t="n">
        <v>71530</v>
      </c>
      <c r="F129" s="2" t="n">
        <v>79400</v>
      </c>
      <c r="G129" s="2">
        <f>IFERROR(F129/60,"")</f>
        <v/>
      </c>
      <c r="H129" s="6">
        <f>IFERROR((F129-E129)/E129,"")</f>
        <v/>
      </c>
      <c r="I129" s="6">
        <f>IFERROR((G129-G117)/G117,"")</f>
        <v/>
      </c>
      <c r="J129" s="6">
        <f>IFERROR((G129-G114)/G114,"")</f>
        <v/>
      </c>
      <c r="K129" s="3" t="n">
        <v>463</v>
      </c>
      <c r="L129" s="6">
        <f>IFERROR(K129/SUM($K$114:$K$130),"")</f>
        <v/>
      </c>
      <c r="M129" s="8" t="n">
        <v>16</v>
      </c>
    </row>
    <row r="130">
      <c r="A130" t="inlineStr">
        <is>
          <t>Rospaw</t>
        </is>
      </c>
      <c r="B130" t="inlineStr">
        <is>
          <t>TEXOPRAN</t>
        </is>
      </c>
      <c r="C130" t="inlineStr">
        <is>
          <t>320 mg</t>
        </is>
      </c>
      <c r="D130" t="inlineStr">
        <is>
          <t>320 mg comp.rec.x 30</t>
        </is>
      </c>
      <c r="E130" s="2" t="n"/>
      <c r="F130" s="2" t="n">
        <v>35880</v>
      </c>
      <c r="G130" s="2">
        <f>IFERROR(F130/30,"")</f>
        <v/>
      </c>
      <c r="H130" s="6">
        <f>IFERROR((F130-E130)/E130,"")</f>
        <v/>
      </c>
      <c r="I130" s="6">
        <f>IFERROR((G130-G117)/G117,"")</f>
        <v/>
      </c>
      <c r="J130" s="6">
        <f>IFERROR((G130-G114)/G114,"")</f>
        <v/>
      </c>
      <c r="K130" s="3" t="n"/>
      <c r="L130" s="6">
        <f>IFERROR(K130/SUM($K$114:$K$130),"")</f>
        <v/>
      </c>
      <c r="M130" s="8" t="n">
        <v>17</v>
      </c>
    </row>
    <row r="132" ht="20" customHeight="1">
      <c r="A132" s="5" t="inlineStr">
        <is>
          <t>Dosis: 320/12.5 mg — valsartan+hidroclorotiazida</t>
        </is>
      </c>
    </row>
    <row r="133">
      <c r="A133" t="inlineStr">
        <is>
          <t>Baliarda</t>
        </is>
      </c>
      <c r="B133" t="inlineStr">
        <is>
          <t>SARVAL D 320/12.5</t>
        </is>
      </c>
      <c r="C133" t="inlineStr">
        <is>
          <t>320/12.5 mg</t>
        </is>
      </c>
      <c r="D133" t="inlineStr">
        <is>
          <t>320/12.5 mg comp.rec.x30</t>
        </is>
      </c>
      <c r="E133" s="2" t="n">
        <v>49612.98</v>
      </c>
      <c r="F133" s="2" t="n">
        <v>51051.76</v>
      </c>
      <c r="G133" s="2">
        <f>IFERROR(F133/30,"")</f>
        <v/>
      </c>
      <c r="H133" s="6">
        <f>IFERROR((F133-E133)/E133,"")</f>
        <v/>
      </c>
      <c r="I133" s="6">
        <f>IFERROR((G133-G135)/G135,"")</f>
        <v/>
      </c>
      <c r="J133" s="7" t="inlineStr">
        <is>
          <t>Líder</t>
        </is>
      </c>
      <c r="K133" s="3" t="n">
        <v>61579</v>
      </c>
      <c r="L133" s="6">
        <f>IFERROR(K133/SUM($K$133:$K$138),"")</f>
        <v/>
      </c>
      <c r="M133" s="8" t="n">
        <v>1</v>
      </c>
    </row>
    <row r="134">
      <c r="A134" t="inlineStr">
        <is>
          <t>Adium</t>
        </is>
      </c>
      <c r="B134" t="inlineStr">
        <is>
          <t>ALPERTAN D</t>
        </is>
      </c>
      <c r="C134" t="inlineStr">
        <is>
          <t>320/12.5 mg</t>
        </is>
      </c>
      <c r="D134" t="inlineStr">
        <is>
          <t>320/12.5 mg comp.rec.x28</t>
        </is>
      </c>
      <c r="E134" s="2" t="n">
        <v>50874.13</v>
      </c>
      <c r="F134" s="2" t="n">
        <v>54417.29</v>
      </c>
      <c r="G134" s="2">
        <f>IFERROR(F134/28,"")</f>
        <v/>
      </c>
      <c r="H134" s="6">
        <f>IFERROR((F134-E134)/E134,"")</f>
        <v/>
      </c>
      <c r="I134" s="6">
        <f>IFERROR((G134-G135)/G135,"")</f>
        <v/>
      </c>
      <c r="J134" s="6">
        <f>IFERROR((G134-G133)/G133,"")</f>
        <v/>
      </c>
      <c r="K134" s="3" t="n">
        <v>42551</v>
      </c>
      <c r="L134" s="6">
        <f>IFERROR(K134/SUM($K$133:$K$138),"")</f>
        <v/>
      </c>
      <c r="M134" s="8" t="n">
        <v>2</v>
      </c>
    </row>
    <row r="135">
      <c r="A135" s="9" t="inlineStr">
        <is>
          <t>Siegfried ★ SIE</t>
        </is>
      </c>
      <c r="B135" s="9" t="inlineStr">
        <is>
          <t>DIOVAN D</t>
        </is>
      </c>
      <c r="C135" s="9" t="inlineStr">
        <is>
          <t>320/12.5 mg</t>
        </is>
      </c>
      <c r="D135" s="9" t="inlineStr">
        <is>
          <t>320/12.5 mg comp.rec.x28</t>
        </is>
      </c>
      <c r="E135" s="10" t="n">
        <v>48225.9</v>
      </c>
      <c r="F135" s="10" t="n">
        <v>48225.9</v>
      </c>
      <c r="G135" s="10">
        <f>IFERROR(F135/28,"")</f>
        <v/>
      </c>
      <c r="H135" s="11" t="n"/>
      <c r="I135" s="11" t="n"/>
      <c r="J135" s="11">
        <f>IFERROR((G135-G133)/G133,"")</f>
        <v/>
      </c>
      <c r="K135" s="12" t="n">
        <v>23320</v>
      </c>
      <c r="L135" s="11">
        <f>IFERROR(K135/SUM($K$133:$K$138),"")</f>
        <v/>
      </c>
      <c r="M135" s="13" t="n">
        <v>3</v>
      </c>
    </row>
    <row r="136">
      <c r="A136" t="inlineStr">
        <is>
          <t>Montpellier</t>
        </is>
      </c>
      <c r="B136" t="inlineStr">
        <is>
          <t>DIAPRESAN D</t>
        </is>
      </c>
      <c r="C136" t="inlineStr">
        <is>
          <t>320/12.5 mg</t>
        </is>
      </c>
      <c r="D136" t="inlineStr">
        <is>
          <t>320/12.5 mg comp.rec.x30</t>
        </is>
      </c>
      <c r="E136" s="2" t="n">
        <v>45548.68</v>
      </c>
      <c r="F136" s="2" t="n">
        <v>46004.17</v>
      </c>
      <c r="G136" s="2">
        <f>IFERROR(F136/30,"")</f>
        <v/>
      </c>
      <c r="H136" s="6">
        <f>IFERROR((F136-E136)/E136,"")</f>
        <v/>
      </c>
      <c r="I136" s="6">
        <f>IFERROR((G136-G135)/G135,"")</f>
        <v/>
      </c>
      <c r="J136" s="6">
        <f>IFERROR((G136-G133)/G133,"")</f>
        <v/>
      </c>
      <c r="K136" s="3" t="n">
        <v>11804</v>
      </c>
      <c r="L136" s="6">
        <f>IFERROR(K136/SUM($K$133:$K$138),"")</f>
        <v/>
      </c>
      <c r="M136" s="8" t="n">
        <v>4</v>
      </c>
    </row>
    <row r="137">
      <c r="A137" t="inlineStr">
        <is>
          <t>Lazar</t>
        </is>
      </c>
      <c r="B137" t="inlineStr">
        <is>
          <t>SIMULTAN D</t>
        </is>
      </c>
      <c r="C137" t="inlineStr">
        <is>
          <t>320/12.5 mg</t>
        </is>
      </c>
      <c r="D137" t="inlineStr">
        <is>
          <t>320/12.5mg comp.rec.x 30</t>
        </is>
      </c>
      <c r="E137" s="2" t="n">
        <v>46378.48</v>
      </c>
      <c r="F137" s="2" t="n">
        <v>48486.4</v>
      </c>
      <c r="G137" s="2">
        <f>IFERROR(F137/30,"")</f>
        <v/>
      </c>
      <c r="H137" s="6">
        <f>IFERROR((F137-E137)/E137,"")</f>
        <v/>
      </c>
      <c r="I137" s="6">
        <f>IFERROR((G137-G135)/G135,"")</f>
        <v/>
      </c>
      <c r="J137" s="6">
        <f>IFERROR((G137-G133)/G133,"")</f>
        <v/>
      </c>
      <c r="K137" s="3" t="n">
        <v>5225</v>
      </c>
      <c r="L137" s="6">
        <f>IFERROR(K137/SUM($K$133:$K$138),"")</f>
        <v/>
      </c>
      <c r="M137" s="8" t="n">
        <v>5</v>
      </c>
    </row>
    <row r="138">
      <c r="A138" t="inlineStr">
        <is>
          <t>Casasco</t>
        </is>
      </c>
      <c r="B138" t="inlineStr">
        <is>
          <t>DILCORAN D</t>
        </is>
      </c>
      <c r="C138" t="inlineStr">
        <is>
          <t>320/12.5 mg</t>
        </is>
      </c>
      <c r="D138" t="inlineStr">
        <is>
          <t>320/12.5 mg comp.rec.x30</t>
        </is>
      </c>
      <c r="E138" s="2" t="n">
        <v>47370.9</v>
      </c>
      <c r="F138" s="2" t="n">
        <v>47702.5</v>
      </c>
      <c r="G138" s="2">
        <f>IFERROR(F138/30,"")</f>
        <v/>
      </c>
      <c r="H138" s="6">
        <f>IFERROR((F138-E138)/E138,"")</f>
        <v/>
      </c>
      <c r="I138" s="6">
        <f>IFERROR((G138-G135)/G135,"")</f>
        <v/>
      </c>
      <c r="J138" s="6">
        <f>IFERROR((G138-G133)/G133,"")</f>
        <v/>
      </c>
      <c r="K138" s="3" t="n"/>
      <c r="L138" s="6">
        <f>IFERROR(K138/SUM($K$133:$K$138),"")</f>
        <v/>
      </c>
      <c r="M138" s="8" t="n">
        <v>6</v>
      </c>
    </row>
    <row r="140" ht="20" customHeight="1">
      <c r="A140" s="5" t="inlineStr">
        <is>
          <t>Dosis: 320/25 mg — valsartan+hidroclorotiazida</t>
        </is>
      </c>
    </row>
    <row r="141">
      <c r="A141" t="inlineStr">
        <is>
          <t>Baliarda</t>
        </is>
      </c>
      <c r="B141" t="inlineStr">
        <is>
          <t>SARVAL D 320/25</t>
        </is>
      </c>
      <c r="C141" t="inlineStr">
        <is>
          <t>320/25 mg</t>
        </is>
      </c>
      <c r="D141" t="inlineStr">
        <is>
          <t>320/25 mg comp.rec.x30</t>
        </is>
      </c>
      <c r="E141" s="2" t="n">
        <v>49527.34</v>
      </c>
      <c r="F141" s="2" t="n">
        <v>50022.61</v>
      </c>
      <c r="G141" s="2">
        <f>IFERROR(F141/30,"")</f>
        <v/>
      </c>
      <c r="H141" s="6">
        <f>IFERROR((F141-E141)/E141,"")</f>
        <v/>
      </c>
      <c r="I141" s="6">
        <f>IFERROR((G141-G143)/G143,"")</f>
        <v/>
      </c>
      <c r="J141" s="7" t="inlineStr">
        <is>
          <t>Líder</t>
        </is>
      </c>
      <c r="K141" s="3" t="n">
        <v>86437</v>
      </c>
      <c r="L141" s="6">
        <f>IFERROR(K141/SUM($K$141:$K$149),"")</f>
        <v/>
      </c>
      <c r="M141" s="8" t="n">
        <v>1</v>
      </c>
    </row>
    <row r="142">
      <c r="A142" t="inlineStr">
        <is>
          <t>Adium</t>
        </is>
      </c>
      <c r="B142" t="inlineStr">
        <is>
          <t>ALPERTAN D</t>
        </is>
      </c>
      <c r="C142" t="inlineStr">
        <is>
          <t>320/25 mg</t>
        </is>
      </c>
      <c r="D142" t="inlineStr">
        <is>
          <t>320/25 mg comp.rec.x28</t>
        </is>
      </c>
      <c r="E142" s="2" t="n">
        <v>50882.32</v>
      </c>
      <c r="F142" s="2" t="n">
        <v>54426.04</v>
      </c>
      <c r="G142" s="2">
        <f>IFERROR(F142/28,"")</f>
        <v/>
      </c>
      <c r="H142" s="6">
        <f>IFERROR((F142-E142)/E142,"")</f>
        <v/>
      </c>
      <c r="I142" s="6">
        <f>IFERROR((G142-G143)/G143,"")</f>
        <v/>
      </c>
      <c r="J142" s="6">
        <f>IFERROR((G142-G141)/G141,"")</f>
        <v/>
      </c>
      <c r="K142" s="3" t="n">
        <v>40317</v>
      </c>
      <c r="L142" s="6">
        <f>IFERROR(K142/SUM($K$141:$K$149),"")</f>
        <v/>
      </c>
      <c r="M142" s="8" t="n">
        <v>2</v>
      </c>
    </row>
    <row r="143">
      <c r="A143" s="9" t="inlineStr">
        <is>
          <t>Siegfried ★ SIE</t>
        </is>
      </c>
      <c r="B143" s="9" t="inlineStr">
        <is>
          <t>DIOVAN D</t>
        </is>
      </c>
      <c r="C143" s="9" t="inlineStr">
        <is>
          <t>320/25 mg</t>
        </is>
      </c>
      <c r="D143" s="9" t="inlineStr">
        <is>
          <t>320/25 mg comp.rec.x 28</t>
        </is>
      </c>
      <c r="E143" s="10" t="n">
        <v>48225.9</v>
      </c>
      <c r="F143" s="10" t="n">
        <v>48225.9</v>
      </c>
      <c r="G143" s="10">
        <f>IFERROR(F143/28,"")</f>
        <v/>
      </c>
      <c r="H143" s="11" t="n"/>
      <c r="I143" s="11" t="n"/>
      <c r="J143" s="11">
        <f>IFERROR((G143-G141)/G141,"")</f>
        <v/>
      </c>
      <c r="K143" s="12" t="n">
        <v>37609</v>
      </c>
      <c r="L143" s="11">
        <f>IFERROR(K143/SUM($K$141:$K$149),"")</f>
        <v/>
      </c>
      <c r="M143" s="13" t="n">
        <v>3</v>
      </c>
    </row>
    <row r="144">
      <c r="A144" t="inlineStr">
        <is>
          <t>Gador</t>
        </is>
      </c>
      <c r="B144" t="inlineStr">
        <is>
          <t>PALIAX D</t>
        </is>
      </c>
      <c r="C144" t="inlineStr">
        <is>
          <t>320/25 mg</t>
        </is>
      </c>
      <c r="D144" t="inlineStr">
        <is>
          <t>320/25 mg comp.rec.x 30</t>
        </is>
      </c>
      <c r="E144" s="2" t="n">
        <v>45614.33</v>
      </c>
      <c r="F144" s="2" t="n">
        <v>46298.55</v>
      </c>
      <c r="G144" s="2">
        <f>IFERROR(F144/30,"")</f>
        <v/>
      </c>
      <c r="H144" s="6">
        <f>IFERROR((F144-E144)/E144,"")</f>
        <v/>
      </c>
      <c r="I144" s="6">
        <f>IFERROR((G144-G143)/G143,"")</f>
        <v/>
      </c>
      <c r="J144" s="6">
        <f>IFERROR((G144-G141)/G141,"")</f>
        <v/>
      </c>
      <c r="K144" s="3" t="n">
        <v>24354</v>
      </c>
      <c r="L144" s="6">
        <f>IFERROR(K144/SUM($K$141:$K$149),"")</f>
        <v/>
      </c>
      <c r="M144" s="8" t="n">
        <v>4</v>
      </c>
    </row>
    <row r="145">
      <c r="A145" t="inlineStr">
        <is>
          <t>Montpellier</t>
        </is>
      </c>
      <c r="B145" t="inlineStr">
        <is>
          <t>DIAPRESAN D</t>
        </is>
      </c>
      <c r="C145" t="inlineStr">
        <is>
          <t>320/25 mg</t>
        </is>
      </c>
      <c r="D145" t="inlineStr">
        <is>
          <t>320/25 mg comp.rec.x30</t>
        </is>
      </c>
      <c r="E145" s="2" t="n">
        <v>45826.82</v>
      </c>
      <c r="F145" s="2" t="n">
        <v>46285.1</v>
      </c>
      <c r="G145" s="2">
        <f>IFERROR(F145/30,"")</f>
        <v/>
      </c>
      <c r="H145" s="6">
        <f>IFERROR((F145-E145)/E145,"")</f>
        <v/>
      </c>
      <c r="I145" s="6">
        <f>IFERROR((G145-G143)/G143,"")</f>
        <v/>
      </c>
      <c r="J145" s="6">
        <f>IFERROR((G145-G141)/G141,"")</f>
        <v/>
      </c>
      <c r="K145" s="3" t="n">
        <v>14602</v>
      </c>
      <c r="L145" s="6">
        <f>IFERROR(K145/SUM($K$141:$K$149),"")</f>
        <v/>
      </c>
      <c r="M145" s="8" t="n">
        <v>5</v>
      </c>
    </row>
    <row r="146">
      <c r="A146" t="inlineStr">
        <is>
          <t>Lazar</t>
        </is>
      </c>
      <c r="B146" t="inlineStr">
        <is>
          <t>SIMULTAN D</t>
        </is>
      </c>
      <c r="C146" t="inlineStr">
        <is>
          <t>320/25 mg</t>
        </is>
      </c>
      <c r="D146" t="inlineStr">
        <is>
          <t>320/25 mg comp.rec.x 30</t>
        </is>
      </c>
      <c r="E146" s="2" t="n">
        <v>46901.93</v>
      </c>
      <c r="F146" s="2" t="n">
        <v>49033.63</v>
      </c>
      <c r="G146" s="2">
        <f>IFERROR(F146/30,"")</f>
        <v/>
      </c>
      <c r="H146" s="6">
        <f>IFERROR((F146-E146)/E146,"")</f>
        <v/>
      </c>
      <c r="I146" s="6">
        <f>IFERROR((G146-G143)/G143,"")</f>
        <v/>
      </c>
      <c r="J146" s="6">
        <f>IFERROR((G146-G141)/G141,"")</f>
        <v/>
      </c>
      <c r="K146" s="3" t="n">
        <v>8001</v>
      </c>
      <c r="L146" s="6">
        <f>IFERROR(K146/SUM($K$141:$K$149),"")</f>
        <v/>
      </c>
      <c r="M146" s="8" t="n">
        <v>6</v>
      </c>
    </row>
    <row r="147">
      <c r="A147" t="inlineStr">
        <is>
          <t>Baliarda</t>
        </is>
      </c>
      <c r="B147" t="inlineStr">
        <is>
          <t>SARVAL D 320/25</t>
        </is>
      </c>
      <c r="C147" t="inlineStr">
        <is>
          <t>320/25 mg</t>
        </is>
      </c>
      <c r="D147" t="inlineStr">
        <is>
          <t>320/25 mg comp.rec.x60</t>
        </is>
      </c>
      <c r="E147" s="2" t="n">
        <v>88852.98</v>
      </c>
      <c r="F147" s="2" t="n">
        <v>89741.50999999999</v>
      </c>
      <c r="G147" s="2">
        <f>IFERROR(F147/60,"")</f>
        <v/>
      </c>
      <c r="H147" s="6">
        <f>IFERROR((F147-E147)/E147,"")</f>
        <v/>
      </c>
      <c r="I147" s="6">
        <f>IFERROR((G147-G143)/G143,"")</f>
        <v/>
      </c>
      <c r="J147" s="6">
        <f>IFERROR((G147-G141)/G141,"")</f>
        <v/>
      </c>
      <c r="K147" s="3" t="n">
        <v>1585</v>
      </c>
      <c r="L147" s="6">
        <f>IFERROR(K147/SUM($K$141:$K$149),"")</f>
        <v/>
      </c>
      <c r="M147" s="8" t="n">
        <v>7</v>
      </c>
    </row>
    <row r="148">
      <c r="A148" t="inlineStr">
        <is>
          <t>Lepetit</t>
        </is>
      </c>
      <c r="B148" t="inlineStr">
        <is>
          <t>VALSALEP D</t>
        </is>
      </c>
      <c r="C148" t="inlineStr">
        <is>
          <t>320/25 mg</t>
        </is>
      </c>
      <c r="D148" t="inlineStr">
        <is>
          <t>320/25 mg comp.rec.x 30</t>
        </is>
      </c>
      <c r="E148" s="2" t="n">
        <v>43350</v>
      </c>
      <c r="F148" s="2" t="n">
        <v>45040</v>
      </c>
      <c r="G148" s="2">
        <f>IFERROR(F148/30,"")</f>
        <v/>
      </c>
      <c r="H148" s="6">
        <f>IFERROR((F148-E148)/E148,"")</f>
        <v/>
      </c>
      <c r="I148" s="6">
        <f>IFERROR((G148-G143)/G143,"")</f>
        <v/>
      </c>
      <c r="J148" s="6">
        <f>IFERROR((G148-G141)/G141,"")</f>
        <v/>
      </c>
      <c r="K148" s="3" t="n">
        <v>29</v>
      </c>
      <c r="L148" s="6">
        <f>IFERROR(K148/SUM($K$141:$K$149),"")</f>
        <v/>
      </c>
      <c r="M148" s="8" t="n">
        <v>8</v>
      </c>
    </row>
    <row r="149">
      <c r="A149" t="inlineStr">
        <is>
          <t>Casasco</t>
        </is>
      </c>
      <c r="B149" t="inlineStr">
        <is>
          <t>DILCORAN D</t>
        </is>
      </c>
      <c r="C149" t="inlineStr">
        <is>
          <t>320/25 mg</t>
        </is>
      </c>
      <c r="D149" t="inlineStr">
        <is>
          <t>320/25 mg comp.rec.x30</t>
        </is>
      </c>
      <c r="E149" s="2" t="n">
        <v>46646.4</v>
      </c>
      <c r="F149" s="2" t="n">
        <v>46972.93</v>
      </c>
      <c r="G149" s="2">
        <f>IFERROR(F149/30,"")</f>
        <v/>
      </c>
      <c r="H149" s="6">
        <f>IFERROR((F149-E149)/E149,"")</f>
        <v/>
      </c>
      <c r="I149" s="6">
        <f>IFERROR((G149-G143)/G143,"")</f>
        <v/>
      </c>
      <c r="J149" s="6">
        <f>IFERROR((G149-G141)/G141,"")</f>
        <v/>
      </c>
      <c r="K149" s="3" t="n"/>
      <c r="L149" s="6">
        <f>IFERROR(K149/SUM($K$141:$K$149),"")</f>
        <v/>
      </c>
      <c r="M149" s="8" t="n">
        <v>9</v>
      </c>
    </row>
  </sheetData>
  <mergeCells count="9">
    <mergeCell ref="A5:M5"/>
    <mergeCell ref="A132:M132"/>
    <mergeCell ref="A100:M100"/>
    <mergeCell ref="A140:M140"/>
    <mergeCell ref="A53:M53"/>
    <mergeCell ref="A72:M72"/>
    <mergeCell ref="A25:M25"/>
    <mergeCell ref="A113:M113"/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" customWidth="1" min="1" max="1"/>
    <col width="20.83" customWidth="1" min="2" max="2"/>
    <col width="12" customWidth="1" min="3" max="3"/>
    <col width="28.83" customWidth="1" min="4" max="4"/>
    <col width="14.83" customWidth="1" min="5" max="5"/>
    <col width="14.83" customWidth="1" min="6" max="6"/>
    <col width="12.83" customWidth="1" min="7" max="7"/>
    <col width="8.83" customWidth="1" min="8" max="8"/>
    <col width="10.83" customWidth="1" min="9" max="9"/>
    <col width="10.83" customWidth="1" min="10" max="10"/>
    <col width="12.83" customWidth="1" min="11" max="11"/>
    <col width="8.83" customWidth="1" min="12" max="12"/>
    <col width="6.83" customWidth="1" min="13" max="13"/>
  </cols>
  <sheetData>
    <row r="1">
      <c r="A1" s="4" t="inlineStr">
        <is>
          <t>Laboratorio</t>
        </is>
      </c>
      <c r="B1" s="4" t="inlineStr">
        <is>
          <t>Producto</t>
        </is>
      </c>
      <c r="C1" s="4" t="inlineStr">
        <is>
          <t>Dosis</t>
        </is>
      </c>
      <c r="D1" s="4" t="inlineStr">
        <is>
          <t>Presentación</t>
        </is>
      </c>
      <c r="E1" s="4" t="inlineStr">
        <is>
          <t>PVP Feb 2026</t>
        </is>
      </c>
      <c r="F1" s="4" t="inlineStr">
        <is>
          <t>PVP Abr 2026</t>
        </is>
      </c>
      <c r="G1" s="4" t="inlineStr">
        <is>
          <t>PVP/Unidad</t>
        </is>
      </c>
      <c r="H1" s="4" t="inlineStr">
        <is>
          <t>Var %</t>
        </is>
      </c>
      <c r="I1" s="4" t="inlineStr">
        <is>
          <t>VS SIE</t>
        </is>
      </c>
      <c r="J1" s="4" t="inlineStr">
        <is>
          <t>VS Líder</t>
        </is>
      </c>
      <c r="K1" s="4" t="inlineStr">
        <is>
          <t>IQVIA MAT U.</t>
        </is>
      </c>
      <c r="L1" s="4" t="inlineStr">
        <is>
          <t>Share %</t>
        </is>
      </c>
      <c r="M1" s="4" t="inlineStr">
        <is>
          <t>Ranking</t>
        </is>
      </c>
    </row>
    <row r="2" ht="20" customHeight="1">
      <c r="A2" s="5" t="inlineStr">
        <is>
          <t>Dosis: 10 mg — empagliflozina</t>
        </is>
      </c>
    </row>
    <row r="3">
      <c r="A3" t="inlineStr">
        <is>
          <t>Boehringer Ingelheim</t>
        </is>
      </c>
      <c r="B3" t="inlineStr">
        <is>
          <t>JARDIANCE</t>
        </is>
      </c>
      <c r="C3" t="inlineStr">
        <is>
          <t>10 mg</t>
        </is>
      </c>
      <c r="D3" t="inlineStr">
        <is>
          <t>10 mg comp.x 30</t>
        </is>
      </c>
      <c r="E3" s="2" t="n">
        <v>180555.86</v>
      </c>
      <c r="F3" s="2" t="n">
        <v>191569.77</v>
      </c>
      <c r="G3" s="2">
        <f>IFERROR(F3/30,"")</f>
        <v/>
      </c>
      <c r="H3" s="6">
        <f>IFERROR((F3-E3)/E3,"")</f>
        <v/>
      </c>
      <c r="I3" s="6">
        <f>IFERROR((G3-G5)/G5,"")</f>
        <v/>
      </c>
      <c r="J3" s="7" t="inlineStr">
        <is>
          <t>Líder</t>
        </is>
      </c>
      <c r="K3" s="3" t="n">
        <v>168441</v>
      </c>
      <c r="L3" s="6">
        <f>IFERROR(K3/SUM($K$3:$K$14),"")</f>
        <v/>
      </c>
      <c r="M3" s="8" t="n">
        <v>1</v>
      </c>
    </row>
    <row r="4">
      <c r="A4" t="inlineStr">
        <is>
          <t>Gador</t>
        </is>
      </c>
      <c r="B4" t="inlineStr">
        <is>
          <t>ENCLYNA</t>
        </is>
      </c>
      <c r="C4" t="inlineStr">
        <is>
          <t>10 mg</t>
        </is>
      </c>
      <c r="D4" t="inlineStr">
        <is>
          <t>10 mg comp.x 30</t>
        </is>
      </c>
      <c r="E4" s="2" t="n">
        <v>123879.88</v>
      </c>
      <c r="F4" s="2" t="n">
        <v>126976.88</v>
      </c>
      <c r="G4" s="2">
        <f>IFERROR(F4/30,"")</f>
        <v/>
      </c>
      <c r="H4" s="6">
        <f>IFERROR((F4-E4)/E4,"")</f>
        <v/>
      </c>
      <c r="I4" s="6">
        <f>IFERROR((G4-G5)/G5,"")</f>
        <v/>
      </c>
      <c r="J4" s="6">
        <f>IFERROR((G4-G3)/G3,"")</f>
        <v/>
      </c>
      <c r="K4" s="3" t="n">
        <v>35938</v>
      </c>
      <c r="L4" s="6">
        <f>IFERROR(K4/SUM($K$3:$K$14),"")</f>
        <v/>
      </c>
      <c r="M4" s="8" t="n">
        <v>2</v>
      </c>
    </row>
    <row r="5">
      <c r="A5" s="9" t="inlineStr">
        <is>
          <t>Siegfried ★ SIE</t>
        </is>
      </c>
      <c r="B5" s="9" t="inlineStr">
        <is>
          <t>EMPAX</t>
        </is>
      </c>
      <c r="C5" s="9" t="inlineStr">
        <is>
          <t>10 mg</t>
        </is>
      </c>
      <c r="D5" s="9" t="inlineStr">
        <is>
          <t>10 mg comp.rec.x 30</t>
        </is>
      </c>
      <c r="E5" s="10" t="n">
        <v>92646.73</v>
      </c>
      <c r="F5" s="10" t="n">
        <v>92646.73</v>
      </c>
      <c r="G5" s="10">
        <f>IFERROR(F5/30,"")</f>
        <v/>
      </c>
      <c r="H5" s="11" t="n"/>
      <c r="I5" s="11" t="n"/>
      <c r="J5" s="11">
        <f>IFERROR((G5-G3)/G3,"")</f>
        <v/>
      </c>
      <c r="K5" s="12" t="n">
        <v>13543</v>
      </c>
      <c r="L5" s="11">
        <f>IFERROR(K5/SUM($K$3:$K$14),"")</f>
        <v/>
      </c>
      <c r="M5" s="13" t="n">
        <v>3</v>
      </c>
    </row>
    <row r="6">
      <c r="A6" t="inlineStr">
        <is>
          <t>Casasco</t>
        </is>
      </c>
      <c r="B6" t="inlineStr">
        <is>
          <t>SAGLOX</t>
        </is>
      </c>
      <c r="C6" t="inlineStr">
        <is>
          <t>10 mg</t>
        </is>
      </c>
      <c r="D6" t="inlineStr">
        <is>
          <t>10 mg comp.x 30</t>
        </is>
      </c>
      <c r="E6" s="2" t="n">
        <v>84531.34</v>
      </c>
      <c r="F6" s="2" t="n">
        <v>86982.74000000001</v>
      </c>
      <c r="G6" s="2">
        <f>IFERROR(F6/30,"")</f>
        <v/>
      </c>
      <c r="H6" s="6">
        <f>IFERROR((F6-E6)/E6,"")</f>
        <v/>
      </c>
      <c r="I6" s="6">
        <f>IFERROR((G6-G5)/G5,"")</f>
        <v/>
      </c>
      <c r="J6" s="6">
        <f>IFERROR((G6-G3)/G3,"")</f>
        <v/>
      </c>
      <c r="K6" s="3" t="n">
        <v>13539</v>
      </c>
      <c r="L6" s="6">
        <f>IFERROR(K6/SUM($K$3:$K$14),"")</f>
        <v/>
      </c>
      <c r="M6" s="8" t="n">
        <v>4</v>
      </c>
    </row>
    <row r="7">
      <c r="A7" t="inlineStr">
        <is>
          <t>Nolter</t>
        </is>
      </c>
      <c r="B7" t="inlineStr">
        <is>
          <t>EMADIAN</t>
        </is>
      </c>
      <c r="C7" t="inlineStr">
        <is>
          <t>10 mg</t>
        </is>
      </c>
      <c r="D7" t="inlineStr">
        <is>
          <t>10 mg comp.rec.x 30</t>
        </is>
      </c>
      <c r="E7" s="2" t="n">
        <v>86941.83</v>
      </c>
      <c r="F7" s="2" t="n">
        <v>91967.94</v>
      </c>
      <c r="G7" s="2">
        <f>IFERROR(F7/30,"")</f>
        <v/>
      </c>
      <c r="H7" s="6">
        <f>IFERROR((F7-E7)/E7,"")</f>
        <v/>
      </c>
      <c r="I7" s="6">
        <f>IFERROR((G7-G5)/G5,"")</f>
        <v/>
      </c>
      <c r="J7" s="6">
        <f>IFERROR((G7-G3)/G3,"")</f>
        <v/>
      </c>
      <c r="K7" s="3" t="n">
        <v>13216</v>
      </c>
      <c r="L7" s="6">
        <f>IFERROR(K7/SUM($K$3:$K$14),"")</f>
        <v/>
      </c>
      <c r="M7" s="8" t="n">
        <v>5</v>
      </c>
    </row>
    <row r="8">
      <c r="A8" t="inlineStr">
        <is>
          <t>Roemmers</t>
        </is>
      </c>
      <c r="B8" t="inlineStr">
        <is>
          <t>EDAGAN</t>
        </is>
      </c>
      <c r="C8" t="inlineStr">
        <is>
          <t>10 mg</t>
        </is>
      </c>
      <c r="D8" t="inlineStr">
        <is>
          <t>10 mg comp.rec.x 30</t>
        </is>
      </c>
      <c r="E8" s="2" t="n">
        <v>84600</v>
      </c>
      <c r="F8" s="2" t="n">
        <v>86630</v>
      </c>
      <c r="G8" s="2">
        <f>IFERROR(F8/30,"")</f>
        <v/>
      </c>
      <c r="H8" s="6">
        <f>IFERROR((F8-E8)/E8,"")</f>
        <v/>
      </c>
      <c r="I8" s="6">
        <f>IFERROR((G8-G5)/G5,"")</f>
        <v/>
      </c>
      <c r="J8" s="6">
        <f>IFERROR((G8-G3)/G3,"")</f>
        <v/>
      </c>
      <c r="K8" s="3" t="n">
        <v>12879</v>
      </c>
      <c r="L8" s="6">
        <f>IFERROR(K8/SUM($K$3:$K$14),"")</f>
        <v/>
      </c>
      <c r="M8" s="8" t="n">
        <v>6</v>
      </c>
    </row>
    <row r="9">
      <c r="A9" t="inlineStr">
        <is>
          <t>Baliarda</t>
        </is>
      </c>
      <c r="B9" t="inlineStr">
        <is>
          <t>DIFOGLIX</t>
        </is>
      </c>
      <c r="C9" t="inlineStr">
        <is>
          <t>10 mg</t>
        </is>
      </c>
      <c r="D9" t="inlineStr">
        <is>
          <t>10 mg comp.rec.x 30</t>
        </is>
      </c>
      <c r="E9" s="2" t="n">
        <v>84334.55</v>
      </c>
      <c r="F9" s="2" t="n">
        <v>85177.90000000001</v>
      </c>
      <c r="G9" s="2">
        <f>IFERROR(F9/30,"")</f>
        <v/>
      </c>
      <c r="H9" s="6">
        <f>IFERROR((F9-E9)/E9,"")</f>
        <v/>
      </c>
      <c r="I9" s="6">
        <f>IFERROR((G9-G5)/G5,"")</f>
        <v/>
      </c>
      <c r="J9" s="6">
        <f>IFERROR((G9-G3)/G3,"")</f>
        <v/>
      </c>
      <c r="K9" s="3" t="n">
        <v>12461</v>
      </c>
      <c r="L9" s="6">
        <f>IFERROR(K9/SUM($K$3:$K$14),"")</f>
        <v/>
      </c>
      <c r="M9" s="8" t="n">
        <v>7</v>
      </c>
    </row>
    <row r="10">
      <c r="A10" t="inlineStr">
        <is>
          <t>Beta</t>
        </is>
      </c>
      <c r="B10" t="inlineStr">
        <is>
          <t>ETACRIL</t>
        </is>
      </c>
      <c r="C10" t="inlineStr">
        <is>
          <t>10 mg</t>
        </is>
      </c>
      <c r="D10" t="inlineStr">
        <is>
          <t>10 mg comp.rec.x 30</t>
        </is>
      </c>
      <c r="E10" s="2" t="n">
        <v>90167.87</v>
      </c>
      <c r="F10" s="2" t="n">
        <v>95937.35000000001</v>
      </c>
      <c r="G10" s="2">
        <f>IFERROR(F10/30,"")</f>
        <v/>
      </c>
      <c r="H10" s="6">
        <f>IFERROR((F10-E10)/E10,"")</f>
        <v/>
      </c>
      <c r="I10" s="6">
        <f>IFERROR((G10-G5)/G5,"")</f>
        <v/>
      </c>
      <c r="J10" s="6">
        <f>IFERROR((G10-G3)/G3,"")</f>
        <v/>
      </c>
      <c r="K10" s="3" t="n">
        <v>8154</v>
      </c>
      <c r="L10" s="6">
        <f>IFERROR(K10/SUM($K$3:$K$14),"")</f>
        <v/>
      </c>
      <c r="M10" s="8" t="n">
        <v>8</v>
      </c>
    </row>
    <row r="11">
      <c r="A11" t="inlineStr">
        <is>
          <t>Eurofarma</t>
        </is>
      </c>
      <c r="B11" t="inlineStr">
        <is>
          <t>DEMPI</t>
        </is>
      </c>
      <c r="C11" t="inlineStr">
        <is>
          <t>10 mg</t>
        </is>
      </c>
      <c r="D11" t="inlineStr">
        <is>
          <t>10 mg comp.rec.x 30</t>
        </is>
      </c>
      <c r="E11" s="2" t="n">
        <v>89472.12</v>
      </c>
      <c r="F11" s="2" t="n">
        <v>93999.41</v>
      </c>
      <c r="G11" s="2">
        <f>IFERROR(F11/30,"")</f>
        <v/>
      </c>
      <c r="H11" s="6">
        <f>IFERROR((F11-E11)/E11,"")</f>
        <v/>
      </c>
      <c r="I11" s="6">
        <f>IFERROR((G11-G5)/G5,"")</f>
        <v/>
      </c>
      <c r="J11" s="6">
        <f>IFERROR((G11-G3)/G3,"")</f>
        <v/>
      </c>
      <c r="K11" s="3" t="n">
        <v>2809</v>
      </c>
      <c r="L11" s="6">
        <f>IFERROR(K11/SUM($K$3:$K$14),"")</f>
        <v/>
      </c>
      <c r="M11" s="8" t="n">
        <v>9</v>
      </c>
    </row>
    <row r="12">
      <c r="A12" t="inlineStr">
        <is>
          <t>Teva Argentina</t>
        </is>
      </c>
      <c r="B12" t="inlineStr">
        <is>
          <t>ETRALAN</t>
        </is>
      </c>
      <c r="C12" t="inlineStr">
        <is>
          <t>10 mg</t>
        </is>
      </c>
      <c r="D12" t="inlineStr">
        <is>
          <t>10 mg comp.rec.x 30</t>
        </is>
      </c>
      <c r="E12" s="2" t="n">
        <v>79407</v>
      </c>
      <c r="F12" s="2" t="n">
        <v>82935.44</v>
      </c>
      <c r="G12" s="2">
        <f>IFERROR(F12/30,"")</f>
        <v/>
      </c>
      <c r="H12" s="6">
        <f>IFERROR((F12-E12)/E12,"")</f>
        <v/>
      </c>
      <c r="I12" s="6">
        <f>IFERROR((G12-G5)/G5,"")</f>
        <v/>
      </c>
      <c r="J12" s="6">
        <f>IFERROR((G12-G3)/G3,"")</f>
        <v/>
      </c>
      <c r="K12" s="3" t="n">
        <v>150</v>
      </c>
      <c r="L12" s="6">
        <f>IFERROR(K12/SUM($K$3:$K$14),"")</f>
        <v/>
      </c>
      <c r="M12" s="8" t="n">
        <v>10</v>
      </c>
    </row>
    <row r="13">
      <c r="A13" t="inlineStr">
        <is>
          <t>Denver Farma</t>
        </is>
      </c>
      <c r="B13" t="inlineStr">
        <is>
          <t>BECIADIC</t>
        </is>
      </c>
      <c r="C13" t="inlineStr">
        <is>
          <t>10 mg</t>
        </is>
      </c>
      <c r="D13" t="inlineStr">
        <is>
          <t>10mg comp.x 30</t>
        </is>
      </c>
      <c r="E13" s="2" t="n">
        <v>73800</v>
      </c>
      <c r="F13" s="2" t="n">
        <v>73800</v>
      </c>
      <c r="G13" s="2">
        <f>IFERROR(F13/30,"")</f>
        <v/>
      </c>
      <c r="H13" s="6">
        <f>IFERROR((F13-E13)/E13,"")</f>
        <v/>
      </c>
      <c r="I13" s="6">
        <f>IFERROR((G13-G5)/G5,"")</f>
        <v/>
      </c>
      <c r="J13" s="6">
        <f>IFERROR((G13-G3)/G3,"")</f>
        <v/>
      </c>
      <c r="K13" s="3" t="n">
        <v>104</v>
      </c>
      <c r="L13" s="6">
        <f>IFERROR(K13/SUM($K$3:$K$14),"")</f>
        <v/>
      </c>
      <c r="M13" s="8" t="n">
        <v>11</v>
      </c>
    </row>
    <row r="14">
      <c r="A14" t="inlineStr">
        <is>
          <t>Laboratorios Bernabó</t>
        </is>
      </c>
      <c r="B14" t="inlineStr">
        <is>
          <t>EMGLIBER</t>
        </is>
      </c>
      <c r="C14" t="inlineStr">
        <is>
          <t>10 mg</t>
        </is>
      </c>
      <c r="D14" t="inlineStr">
        <is>
          <t>10 mg comp.rec.x 30</t>
        </is>
      </c>
      <c r="E14" s="2" t="n">
        <v>83700.36</v>
      </c>
      <c r="F14" s="2" t="n">
        <v>86713.57000000001</v>
      </c>
      <c r="G14" s="2">
        <f>IFERROR(F14/30,"")</f>
        <v/>
      </c>
      <c r="H14" s="6">
        <f>IFERROR((F14-E14)/E14,"")</f>
        <v/>
      </c>
      <c r="I14" s="6">
        <f>IFERROR((G14-G5)/G5,"")</f>
        <v/>
      </c>
      <c r="J14" s="6">
        <f>IFERROR((G14-G3)/G3,"")</f>
        <v/>
      </c>
      <c r="K14" s="3" t="n"/>
      <c r="L14" s="6">
        <f>IFERROR(K14/SUM($K$3:$K$14),"")</f>
        <v/>
      </c>
      <c r="M14" s="8" t="n">
        <v>12</v>
      </c>
    </row>
    <row r="16" ht="20" customHeight="1">
      <c r="A16" s="5" t="inlineStr">
        <is>
          <t>Dosis: 25 mg — empagliflozina</t>
        </is>
      </c>
    </row>
    <row r="17">
      <c r="A17" t="inlineStr">
        <is>
          <t>Boehringer Ingelheim</t>
        </is>
      </c>
      <c r="B17" t="inlineStr">
        <is>
          <t>JARDIANCE</t>
        </is>
      </c>
      <c r="C17" t="inlineStr">
        <is>
          <t>25 mg</t>
        </is>
      </c>
      <c r="D17" t="inlineStr">
        <is>
          <t>25 mg comp.x 30</t>
        </is>
      </c>
      <c r="E17" s="2" t="n">
        <v>194064.07</v>
      </c>
      <c r="F17" s="2" t="n">
        <v>205901.98</v>
      </c>
      <c r="G17" s="2">
        <f>IFERROR(F17/30,"")</f>
        <v/>
      </c>
      <c r="H17" s="6">
        <f>IFERROR((F17-E17)/E17,"")</f>
        <v/>
      </c>
      <c r="I17" s="6">
        <f>IFERROR((G17-G23)/G23,"")</f>
        <v/>
      </c>
      <c r="J17" s="7" t="inlineStr">
        <is>
          <t>Líder</t>
        </is>
      </c>
      <c r="K17" s="3" t="n">
        <v>102769</v>
      </c>
      <c r="L17" s="6">
        <f>IFERROR(K17/SUM($K$17:$K$28),"")</f>
        <v/>
      </c>
      <c r="M17" s="8" t="n">
        <v>1</v>
      </c>
    </row>
    <row r="18">
      <c r="A18" t="inlineStr">
        <is>
          <t>Gador</t>
        </is>
      </c>
      <c r="B18" t="inlineStr">
        <is>
          <t>ENCLYNA</t>
        </is>
      </c>
      <c r="C18" t="inlineStr">
        <is>
          <t>25 mg</t>
        </is>
      </c>
      <c r="D18" t="inlineStr">
        <is>
          <t>25 mg comp.x 30</t>
        </is>
      </c>
      <c r="E18" s="2" t="n">
        <v>133147.47</v>
      </c>
      <c r="F18" s="2" t="n">
        <v>136476.16</v>
      </c>
      <c r="G18" s="2">
        <f>IFERROR(F18/30,"")</f>
        <v/>
      </c>
      <c r="H18" s="6">
        <f>IFERROR((F18-E18)/E18,"")</f>
        <v/>
      </c>
      <c r="I18" s="6">
        <f>IFERROR((G18-G23)/G23,"")</f>
        <v/>
      </c>
      <c r="J18" s="6">
        <f>IFERROR((G18-G17)/G17,"")</f>
        <v/>
      </c>
      <c r="K18" s="3" t="n">
        <v>19350</v>
      </c>
      <c r="L18" s="6">
        <f>IFERROR(K18/SUM($K$17:$K$28),"")</f>
        <v/>
      </c>
      <c r="M18" s="8" t="n">
        <v>2</v>
      </c>
    </row>
    <row r="19">
      <c r="A19" t="inlineStr">
        <is>
          <t>Casasco</t>
        </is>
      </c>
      <c r="B19" t="inlineStr">
        <is>
          <t>SAGLOX</t>
        </is>
      </c>
      <c r="C19" t="inlineStr">
        <is>
          <t>25 mg</t>
        </is>
      </c>
      <c r="D19" t="inlineStr">
        <is>
          <t>25 mg comp.x 30</t>
        </is>
      </c>
      <c r="E19" s="2" t="n">
        <v>90785.75999999999</v>
      </c>
      <c r="F19" s="2" t="n">
        <v>93418.55</v>
      </c>
      <c r="G19" s="2">
        <f>IFERROR(F19/30,"")</f>
        <v/>
      </c>
      <c r="H19" s="6">
        <f>IFERROR((F19-E19)/E19,"")</f>
        <v/>
      </c>
      <c r="I19" s="6">
        <f>IFERROR((G19-G23)/G23,"")</f>
        <v/>
      </c>
      <c r="J19" s="6">
        <f>IFERROR((G19-G17)/G17,"")</f>
        <v/>
      </c>
      <c r="K19" s="3" t="n">
        <v>8106</v>
      </c>
      <c r="L19" s="6">
        <f>IFERROR(K19/SUM($K$17:$K$28),"")</f>
        <v/>
      </c>
      <c r="M19" s="8" t="n">
        <v>3</v>
      </c>
    </row>
    <row r="20">
      <c r="A20" t="inlineStr">
        <is>
          <t>Baliarda</t>
        </is>
      </c>
      <c r="B20" t="inlineStr">
        <is>
          <t>DIFOGLIX</t>
        </is>
      </c>
      <c r="C20" t="inlineStr">
        <is>
          <t>25 mg</t>
        </is>
      </c>
      <c r="D20" t="inlineStr">
        <is>
          <t>25 mg comp.rec.x 30</t>
        </is>
      </c>
      <c r="E20" s="2" t="n">
        <v>90623.74000000001</v>
      </c>
      <c r="F20" s="2" t="n">
        <v>91529.98</v>
      </c>
      <c r="G20" s="2">
        <f>IFERROR(F20/30,"")</f>
        <v/>
      </c>
      <c r="H20" s="6">
        <f>IFERROR((F20-E20)/E20,"")</f>
        <v/>
      </c>
      <c r="I20" s="6">
        <f>IFERROR((G20-G23)/G23,"")</f>
        <v/>
      </c>
      <c r="J20" s="6">
        <f>IFERROR((G20-G17)/G17,"")</f>
        <v/>
      </c>
      <c r="K20" s="3" t="n">
        <v>6470</v>
      </c>
      <c r="L20" s="6">
        <f>IFERROR(K20/SUM($K$17:$K$28),"")</f>
        <v/>
      </c>
      <c r="M20" s="8" t="n">
        <v>4</v>
      </c>
    </row>
    <row r="21">
      <c r="A21" t="inlineStr">
        <is>
          <t>Beta</t>
        </is>
      </c>
      <c r="B21" t="inlineStr">
        <is>
          <t>ETACRIL</t>
        </is>
      </c>
      <c r="C21" t="inlineStr">
        <is>
          <t>25 mg</t>
        </is>
      </c>
      <c r="D21" t="inlineStr">
        <is>
          <t>25 mg comp.rec.x 30</t>
        </is>
      </c>
      <c r="E21" s="2" t="n">
        <v>97532.41</v>
      </c>
      <c r="F21" s="2" t="n">
        <v>103773.12</v>
      </c>
      <c r="G21" s="2">
        <f>IFERROR(F21/30,"")</f>
        <v/>
      </c>
      <c r="H21" s="6">
        <f>IFERROR((F21-E21)/E21,"")</f>
        <v/>
      </c>
      <c r="I21" s="6">
        <f>IFERROR((G21-G23)/G23,"")</f>
        <v/>
      </c>
      <c r="J21" s="6">
        <f>IFERROR((G21-G17)/G17,"")</f>
        <v/>
      </c>
      <c r="K21" s="3" t="n">
        <v>6292</v>
      </c>
      <c r="L21" s="6">
        <f>IFERROR(K21/SUM($K$17:$K$28),"")</f>
        <v/>
      </c>
      <c r="M21" s="8" t="n">
        <v>5</v>
      </c>
    </row>
    <row r="22">
      <c r="A22" t="inlineStr">
        <is>
          <t>Nolter</t>
        </is>
      </c>
      <c r="B22" t="inlineStr">
        <is>
          <t>EMADIAN</t>
        </is>
      </c>
      <c r="C22" t="inlineStr">
        <is>
          <t>25 mg</t>
        </is>
      </c>
      <c r="D22" t="inlineStr">
        <is>
          <t>25 mg comp.rec.x 30</t>
        </is>
      </c>
      <c r="E22" s="2" t="n">
        <v>93446.04000000001</v>
      </c>
      <c r="F22" s="2" t="n">
        <v>98848.15000000001</v>
      </c>
      <c r="G22" s="2">
        <f>IFERROR(F22/30,"")</f>
        <v/>
      </c>
      <c r="H22" s="6">
        <f>IFERROR((F22-E22)/E22,"")</f>
        <v/>
      </c>
      <c r="I22" s="6">
        <f>IFERROR((G22-G23)/G23,"")</f>
        <v/>
      </c>
      <c r="J22" s="6">
        <f>IFERROR((G22-G17)/G17,"")</f>
        <v/>
      </c>
      <c r="K22" s="3" t="n">
        <v>6132</v>
      </c>
      <c r="L22" s="6">
        <f>IFERROR(K22/SUM($K$17:$K$28),"")</f>
        <v/>
      </c>
      <c r="M22" s="8" t="n">
        <v>6</v>
      </c>
    </row>
    <row r="23">
      <c r="A23" s="9" t="inlineStr">
        <is>
          <t>Siegfried ★ SIE</t>
        </is>
      </c>
      <c r="B23" s="9" t="inlineStr">
        <is>
          <t>EMPAX</t>
        </is>
      </c>
      <c r="C23" s="9" t="inlineStr">
        <is>
          <t>25 mg</t>
        </is>
      </c>
      <c r="D23" s="9" t="inlineStr">
        <is>
          <t>25 mg comp.rec.x 30</t>
        </is>
      </c>
      <c r="E23" s="10" t="n">
        <v>99577.72</v>
      </c>
      <c r="F23" s="10" t="n">
        <v>99577.72</v>
      </c>
      <c r="G23" s="10">
        <f>IFERROR(F23/30,"")</f>
        <v/>
      </c>
      <c r="H23" s="11" t="n"/>
      <c r="I23" s="11" t="n"/>
      <c r="J23" s="11">
        <f>IFERROR((G23-G17)/G17,"")</f>
        <v/>
      </c>
      <c r="K23" s="12" t="n">
        <v>5982</v>
      </c>
      <c r="L23" s="11">
        <f>IFERROR(K23/SUM($K$17:$K$28),"")</f>
        <v/>
      </c>
      <c r="M23" s="13" t="n">
        <v>7</v>
      </c>
    </row>
    <row r="24">
      <c r="A24" t="inlineStr">
        <is>
          <t>Roemmers</t>
        </is>
      </c>
      <c r="B24" t="inlineStr">
        <is>
          <t>EDAGAN</t>
        </is>
      </c>
      <c r="C24" t="inlineStr">
        <is>
          <t>25 mg</t>
        </is>
      </c>
      <c r="D24" t="inlineStr">
        <is>
          <t>25 mg comp.rec.x 30</t>
        </is>
      </c>
      <c r="E24" s="2" t="n">
        <v>90929</v>
      </c>
      <c r="F24" s="2" t="n">
        <v>93112</v>
      </c>
      <c r="G24" s="2">
        <f>IFERROR(F24/30,"")</f>
        <v/>
      </c>
      <c r="H24" s="6">
        <f>IFERROR((F24-E24)/E24,"")</f>
        <v/>
      </c>
      <c r="I24" s="6">
        <f>IFERROR((G24-G23)/G23,"")</f>
        <v/>
      </c>
      <c r="J24" s="6">
        <f>IFERROR((G24-G17)/G17,"")</f>
        <v/>
      </c>
      <c r="K24" s="3" t="n">
        <v>5823</v>
      </c>
      <c r="L24" s="6">
        <f>IFERROR(K24/SUM($K$17:$K$28),"")</f>
        <v/>
      </c>
      <c r="M24" s="8" t="n">
        <v>8</v>
      </c>
    </row>
    <row r="25">
      <c r="A25" t="inlineStr">
        <is>
          <t>Eurofarma</t>
        </is>
      </c>
      <c r="B25" t="inlineStr">
        <is>
          <t>DEMPI</t>
        </is>
      </c>
      <c r="C25" t="inlineStr">
        <is>
          <t>25 mg</t>
        </is>
      </c>
      <c r="D25" t="inlineStr">
        <is>
          <t>25 mg comp.rec.x 30</t>
        </is>
      </c>
      <c r="E25" s="2" t="n">
        <v>95064.11</v>
      </c>
      <c r="F25" s="2" t="n">
        <v>99874.35000000001</v>
      </c>
      <c r="G25" s="2">
        <f>IFERROR(F25/30,"")</f>
        <v/>
      </c>
      <c r="H25" s="6">
        <f>IFERROR((F25-E25)/E25,"")</f>
        <v/>
      </c>
      <c r="I25" s="6">
        <f>IFERROR((G25-G23)/G23,"")</f>
        <v/>
      </c>
      <c r="J25" s="6">
        <f>IFERROR((G25-G17)/G17,"")</f>
        <v/>
      </c>
      <c r="K25" s="3" t="n">
        <v>2212</v>
      </c>
      <c r="L25" s="6">
        <f>IFERROR(K25/SUM($K$17:$K$28),"")</f>
        <v/>
      </c>
      <c r="M25" s="8" t="n">
        <v>9</v>
      </c>
    </row>
    <row r="26">
      <c r="A26" t="inlineStr">
        <is>
          <t>Teva Argentina</t>
        </is>
      </c>
      <c r="B26" t="inlineStr">
        <is>
          <t>ETRALAN</t>
        </is>
      </c>
      <c r="C26" t="inlineStr">
        <is>
          <t>25 mg</t>
        </is>
      </c>
      <c r="D26" t="inlineStr">
        <is>
          <t>25 mg comp.rec.x 30</t>
        </is>
      </c>
      <c r="E26" s="2" t="n">
        <v>85759.56</v>
      </c>
      <c r="F26" s="2" t="n">
        <v>89570.28</v>
      </c>
      <c r="G26" s="2">
        <f>IFERROR(F26/30,"")</f>
        <v/>
      </c>
      <c r="H26" s="6">
        <f>IFERROR((F26-E26)/E26,"")</f>
        <v/>
      </c>
      <c r="I26" s="6">
        <f>IFERROR((G26-G23)/G23,"")</f>
        <v/>
      </c>
      <c r="J26" s="6">
        <f>IFERROR((G26-G17)/G17,"")</f>
        <v/>
      </c>
      <c r="K26" s="3" t="n">
        <v>82</v>
      </c>
      <c r="L26" s="6">
        <f>IFERROR(K26/SUM($K$17:$K$28),"")</f>
        <v/>
      </c>
      <c r="M26" s="8" t="n">
        <v>10</v>
      </c>
    </row>
    <row r="27">
      <c r="A27" t="inlineStr">
        <is>
          <t>Denver Farma</t>
        </is>
      </c>
      <c r="B27" t="inlineStr">
        <is>
          <t>BECIADIC</t>
        </is>
      </c>
      <c r="C27" t="inlineStr">
        <is>
          <t>25 mg</t>
        </is>
      </c>
      <c r="D27" t="inlineStr">
        <is>
          <t>25 mg comp.x 30</t>
        </is>
      </c>
      <c r="E27" s="2" t="n">
        <v>79200</v>
      </c>
      <c r="F27" s="2" t="n">
        <v>79200</v>
      </c>
      <c r="G27" s="2">
        <f>IFERROR(F27/30,"")</f>
        <v/>
      </c>
      <c r="H27" s="6">
        <f>IFERROR((F27-E27)/E27,"")</f>
        <v/>
      </c>
      <c r="I27" s="6">
        <f>IFERROR((G27-G23)/G23,"")</f>
        <v/>
      </c>
      <c r="J27" s="6">
        <f>IFERROR((G27-G17)/G17,"")</f>
        <v/>
      </c>
      <c r="K27" s="3" t="n">
        <v>62</v>
      </c>
      <c r="L27" s="6">
        <f>IFERROR(K27/SUM($K$17:$K$28),"")</f>
        <v/>
      </c>
      <c r="M27" s="8" t="n">
        <v>11</v>
      </c>
    </row>
    <row r="28">
      <c r="A28" t="inlineStr">
        <is>
          <t>Laboratorios Bernabó</t>
        </is>
      </c>
      <c r="B28" t="inlineStr">
        <is>
          <t>EMGLIBER</t>
        </is>
      </c>
      <c r="C28" t="inlineStr">
        <is>
          <t>25 mg</t>
        </is>
      </c>
      <c r="D28" t="inlineStr">
        <is>
          <t>25 mg comp.rec.x 30</t>
        </is>
      </c>
      <c r="E28" s="2" t="n">
        <v>89786.41</v>
      </c>
      <c r="F28" s="2" t="n">
        <v>93018.72</v>
      </c>
      <c r="G28" s="2">
        <f>IFERROR(F28/30,"")</f>
        <v/>
      </c>
      <c r="H28" s="6">
        <f>IFERROR((F28-E28)/E28,"")</f>
        <v/>
      </c>
      <c r="I28" s="6">
        <f>IFERROR((G28-G23)/G23,"")</f>
        <v/>
      </c>
      <c r="J28" s="6">
        <f>IFERROR((G28-G17)/G17,"")</f>
        <v/>
      </c>
      <c r="K28" s="3" t="n"/>
      <c r="L28" s="6">
        <f>IFERROR(K28/SUM($K$17:$K$28),"")</f>
        <v/>
      </c>
      <c r="M28" s="8" t="n">
        <v>12</v>
      </c>
    </row>
  </sheetData>
  <mergeCells count="2">
    <mergeCell ref="A16:M16"/>
    <mergeCell ref="A2:M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" customWidth="1" min="1" max="1"/>
    <col width="20.83" customWidth="1" min="2" max="2"/>
    <col width="12" customWidth="1" min="3" max="3"/>
    <col width="28.83" customWidth="1" min="4" max="4"/>
    <col width="14.83" customWidth="1" min="5" max="5"/>
    <col width="14.83" customWidth="1" min="6" max="6"/>
    <col width="12.83" customWidth="1" min="7" max="7"/>
    <col width="8.83" customWidth="1" min="8" max="8"/>
    <col width="10.83" customWidth="1" min="9" max="9"/>
    <col width="10.83" customWidth="1" min="10" max="10"/>
    <col width="12.83" customWidth="1" min="11" max="11"/>
    <col width="8.83" customWidth="1" min="12" max="12"/>
    <col width="6.83" customWidth="1" min="13" max="13"/>
  </cols>
  <sheetData>
    <row r="1">
      <c r="A1" s="4" t="inlineStr">
        <is>
          <t>Laboratorio</t>
        </is>
      </c>
      <c r="B1" s="4" t="inlineStr">
        <is>
          <t>Producto</t>
        </is>
      </c>
      <c r="C1" s="4" t="inlineStr">
        <is>
          <t>Dosis</t>
        </is>
      </c>
      <c r="D1" s="4" t="inlineStr">
        <is>
          <t>Presentación</t>
        </is>
      </c>
      <c r="E1" s="4" t="inlineStr">
        <is>
          <t>PVP Feb 2026</t>
        </is>
      </c>
      <c r="F1" s="4" t="inlineStr">
        <is>
          <t>PVP Abr 2026</t>
        </is>
      </c>
      <c r="G1" s="4" t="inlineStr">
        <is>
          <t>PVP/Unidad</t>
        </is>
      </c>
      <c r="H1" s="4" t="inlineStr">
        <is>
          <t>Var %</t>
        </is>
      </c>
      <c r="I1" s="4" t="inlineStr">
        <is>
          <t>VS SIE</t>
        </is>
      </c>
      <c r="J1" s="4" t="inlineStr">
        <is>
          <t>VS Líder</t>
        </is>
      </c>
      <c r="K1" s="4" t="inlineStr">
        <is>
          <t>IQVIA MAT U.</t>
        </is>
      </c>
      <c r="L1" s="4" t="inlineStr">
        <is>
          <t>Share %</t>
        </is>
      </c>
      <c r="M1" s="4" t="inlineStr">
        <is>
          <t>Ranking</t>
        </is>
      </c>
    </row>
    <row r="2" ht="20" customHeight="1">
      <c r="A2" s="5" t="inlineStr">
        <is>
          <t>Dosis: 5/850 mg — empagliflozina+metformina clorh.</t>
        </is>
      </c>
    </row>
    <row r="3">
      <c r="A3" t="inlineStr">
        <is>
          <t>Boehringer Ingelheim</t>
        </is>
      </c>
      <c r="B3" t="inlineStr">
        <is>
          <t>JARDIANCE DUO</t>
        </is>
      </c>
      <c r="C3" t="inlineStr">
        <is>
          <t>5/850 mg</t>
        </is>
      </c>
      <c r="D3" t="inlineStr">
        <is>
          <t>5/850 comp.rec.x 60</t>
        </is>
      </c>
      <c r="E3" s="2" t="n">
        <v>224064.65</v>
      </c>
      <c r="F3" s="2" t="n">
        <v>237732.59</v>
      </c>
      <c r="G3" s="2">
        <f>IFERROR(F3/60,"")</f>
        <v/>
      </c>
      <c r="H3" s="6">
        <f>IFERROR((F3-E3)/E3,"")</f>
        <v/>
      </c>
      <c r="I3" s="6">
        <f>IFERROR((G3-G5)/G5,"")</f>
        <v/>
      </c>
      <c r="J3" s="7" t="inlineStr">
        <is>
          <t>Líder</t>
        </is>
      </c>
      <c r="K3" s="3" t="n">
        <v>11005</v>
      </c>
      <c r="L3" s="6">
        <f>IFERROR(K3/SUM($K$3:$K$8),"")</f>
        <v/>
      </c>
      <c r="M3" s="8" t="n">
        <v>1</v>
      </c>
    </row>
    <row r="4">
      <c r="A4" t="inlineStr">
        <is>
          <t>Roemmers</t>
        </is>
      </c>
      <c r="B4" t="inlineStr">
        <is>
          <t>EDAGAN MET</t>
        </is>
      </c>
      <c r="C4" t="inlineStr">
        <is>
          <t>5/850 mg</t>
        </is>
      </c>
      <c r="D4" t="inlineStr">
        <is>
          <t>5/850 comp.rec.x 60</t>
        </is>
      </c>
      <c r="E4" s="2" t="n">
        <v>95840</v>
      </c>
      <c r="F4" s="2" t="n">
        <v>96511</v>
      </c>
      <c r="G4" s="2">
        <f>IFERROR(F4/60,"")</f>
        <v/>
      </c>
      <c r="H4" s="6">
        <f>IFERROR((F4-E4)/E4,"")</f>
        <v/>
      </c>
      <c r="I4" s="6">
        <f>IFERROR((G4-G5)/G5,"")</f>
        <v/>
      </c>
      <c r="J4" s="6">
        <f>IFERROR((G4-G3)/G3,"")</f>
        <v/>
      </c>
      <c r="K4" s="3" t="n">
        <v>962</v>
      </c>
      <c r="L4" s="6">
        <f>IFERROR(K4/SUM($K$3:$K$8),"")</f>
        <v/>
      </c>
      <c r="M4" s="8" t="n">
        <v>2</v>
      </c>
    </row>
    <row r="5">
      <c r="A5" s="9" t="inlineStr">
        <is>
          <t>Siegfried ★ SIE</t>
        </is>
      </c>
      <c r="B5" s="9" t="inlineStr">
        <is>
          <t>EMPAX  MET</t>
        </is>
      </c>
      <c r="C5" s="9" t="inlineStr">
        <is>
          <t>5/850 mg</t>
        </is>
      </c>
      <c r="D5" s="9" t="inlineStr">
        <is>
          <t>5/850 comp.rec.x 60</t>
        </is>
      </c>
      <c r="E5" s="10" t="n">
        <v>101071.86</v>
      </c>
      <c r="F5" s="10" t="n">
        <v>101071.86</v>
      </c>
      <c r="G5" s="10">
        <f>IFERROR(F5/60,"")</f>
        <v/>
      </c>
      <c r="H5" s="11" t="n"/>
      <c r="I5" s="11" t="n"/>
      <c r="J5" s="11">
        <f>IFERROR((G5-G3)/G3,"")</f>
        <v/>
      </c>
      <c r="K5" s="12" t="n">
        <v>948</v>
      </c>
      <c r="L5" s="11">
        <f>IFERROR(K5/SUM($K$3:$K$8),"")</f>
        <v/>
      </c>
      <c r="M5" s="13" t="n">
        <v>3</v>
      </c>
    </row>
    <row r="6">
      <c r="A6" t="inlineStr">
        <is>
          <t>Casasco</t>
        </is>
      </c>
      <c r="B6" t="inlineStr">
        <is>
          <t>SAGLOX MET</t>
        </is>
      </c>
      <c r="C6" t="inlineStr">
        <is>
          <t>5/850 mg</t>
        </is>
      </c>
      <c r="D6" t="inlineStr">
        <is>
          <t>5/850 comp.rec.x 60</t>
        </is>
      </c>
      <c r="E6" s="2" t="n">
        <v>95785.54000000001</v>
      </c>
      <c r="F6" s="2" t="n">
        <v>98563.32000000001</v>
      </c>
      <c r="G6" s="2">
        <f>IFERROR(F6/60,"")</f>
        <v/>
      </c>
      <c r="H6" s="6">
        <f>IFERROR((F6-E6)/E6,"")</f>
        <v/>
      </c>
      <c r="I6" s="6">
        <f>IFERROR((G6-G5)/G5,"")</f>
        <v/>
      </c>
      <c r="J6" s="6">
        <f>IFERROR((G6-G3)/G3,"")</f>
        <v/>
      </c>
      <c r="K6" s="3" t="n">
        <v>921</v>
      </c>
      <c r="L6" s="6">
        <f>IFERROR(K6/SUM($K$3:$K$8),"")</f>
        <v/>
      </c>
      <c r="M6" s="8" t="n">
        <v>4</v>
      </c>
    </row>
    <row r="7">
      <c r="A7" t="inlineStr">
        <is>
          <t>Nolter</t>
        </is>
      </c>
      <c r="B7" t="inlineStr">
        <is>
          <t>EMADIANMET</t>
        </is>
      </c>
      <c r="C7" t="inlineStr">
        <is>
          <t>5/850 mg</t>
        </is>
      </c>
      <c r="D7" t="inlineStr">
        <is>
          <t>5/850 comp.rec.x 60</t>
        </is>
      </c>
      <c r="E7" s="2" t="n">
        <v>98116.68000000001</v>
      </c>
      <c r="F7" s="2" t="n">
        <v>103788.8</v>
      </c>
      <c r="G7" s="2">
        <f>IFERROR(F7/60,"")</f>
        <v/>
      </c>
      <c r="H7" s="6">
        <f>IFERROR((F7-E7)/E7,"")</f>
        <v/>
      </c>
      <c r="I7" s="6">
        <f>IFERROR((G7-G5)/G5,"")</f>
        <v/>
      </c>
      <c r="J7" s="6">
        <f>IFERROR((G7-G3)/G3,"")</f>
        <v/>
      </c>
      <c r="K7" s="3" t="n">
        <v>467</v>
      </c>
      <c r="L7" s="6">
        <f>IFERROR(K7/SUM($K$3:$K$8),"")</f>
        <v/>
      </c>
      <c r="M7" s="8" t="n">
        <v>5</v>
      </c>
    </row>
    <row r="8">
      <c r="A8" t="inlineStr">
        <is>
          <t>Laboratorios Bernabó</t>
        </is>
      </c>
      <c r="B8" t="inlineStr">
        <is>
          <t>EMGLIBER MET</t>
        </is>
      </c>
      <c r="C8" t="inlineStr">
        <is>
          <t>5/850 mg</t>
        </is>
      </c>
      <c r="D8" t="inlineStr">
        <is>
          <t>5/850 comp.rec.x 60</t>
        </is>
      </c>
      <c r="E8" s="2" t="n">
        <v>94867.11</v>
      </c>
      <c r="F8" s="2" t="n">
        <v>97618.25999999999</v>
      </c>
      <c r="G8" s="2">
        <f>IFERROR(F8/60,"")</f>
        <v/>
      </c>
      <c r="H8" s="6">
        <f>IFERROR((F8-E8)/E8,"")</f>
        <v/>
      </c>
      <c r="I8" s="6">
        <f>IFERROR((G8-G5)/G5,"")</f>
        <v/>
      </c>
      <c r="J8" s="6">
        <f>IFERROR((G8-G3)/G3,"")</f>
        <v/>
      </c>
      <c r="K8" s="3" t="n"/>
      <c r="L8" s="6">
        <f>IFERROR(K8/SUM($K$3:$K$8),"")</f>
        <v/>
      </c>
      <c r="M8" s="8" t="n">
        <v>6</v>
      </c>
    </row>
    <row r="10" ht="20" customHeight="1">
      <c r="A10" s="5" t="inlineStr">
        <is>
          <t>Dosis: 5/1000 mg — empagliflozina+metformina clorh.</t>
        </is>
      </c>
    </row>
    <row r="11">
      <c r="A11" t="inlineStr">
        <is>
          <t>Boehringer Ingelheim</t>
        </is>
      </c>
      <c r="B11" t="inlineStr">
        <is>
          <t>JARDIANCE DUO</t>
        </is>
      </c>
      <c r="C11" t="inlineStr">
        <is>
          <t>5/1000 mg</t>
        </is>
      </c>
      <c r="D11" t="inlineStr">
        <is>
          <t>5/1000 comp.rec.x 60</t>
        </is>
      </c>
      <c r="E11" s="2" t="n">
        <v>224064.65</v>
      </c>
      <c r="F11" s="2" t="n">
        <v>237732.59</v>
      </c>
      <c r="G11" s="2">
        <f>IFERROR(F11/60,"")</f>
        <v/>
      </c>
      <c r="H11" s="6">
        <f>IFERROR((F11-E11)/E11,"")</f>
        <v/>
      </c>
      <c r="I11" s="6">
        <f>IFERROR((G11-G13)/G13,"")</f>
        <v/>
      </c>
      <c r="J11" s="7" t="inlineStr">
        <is>
          <t>Líder</t>
        </is>
      </c>
      <c r="K11" s="3" t="n">
        <v>7197</v>
      </c>
      <c r="L11" s="6">
        <f>IFERROR(K11/SUM($K$11:$K$15),"")</f>
        <v/>
      </c>
      <c r="M11" s="8" t="n">
        <v>1</v>
      </c>
    </row>
    <row r="12">
      <c r="A12" t="inlineStr">
        <is>
          <t>Casasco</t>
        </is>
      </c>
      <c r="B12" t="inlineStr">
        <is>
          <t>SAGLOX MET</t>
        </is>
      </c>
      <c r="C12" t="inlineStr">
        <is>
          <t>5/1000 mg</t>
        </is>
      </c>
      <c r="D12" t="inlineStr">
        <is>
          <t>5/1000 comp.rec.x 60</t>
        </is>
      </c>
      <c r="E12" s="2" t="n">
        <v>95785.54000000001</v>
      </c>
      <c r="F12" s="2" t="n">
        <v>98563.32000000001</v>
      </c>
      <c r="G12" s="2">
        <f>IFERROR(F12/60,"")</f>
        <v/>
      </c>
      <c r="H12" s="6">
        <f>IFERROR((F12-E12)/E12,"")</f>
        <v/>
      </c>
      <c r="I12" s="6">
        <f>IFERROR((G12-G13)/G13,"")</f>
        <v/>
      </c>
      <c r="J12" s="6">
        <f>IFERROR((G12-G11)/G11,"")</f>
        <v/>
      </c>
      <c r="K12" s="3" t="n">
        <v>878</v>
      </c>
      <c r="L12" s="6">
        <f>IFERROR(K12/SUM($K$11:$K$15),"")</f>
        <v/>
      </c>
      <c r="M12" s="8" t="n">
        <v>2</v>
      </c>
    </row>
    <row r="13">
      <c r="A13" s="9" t="inlineStr">
        <is>
          <t>Siegfried ★ SIE</t>
        </is>
      </c>
      <c r="B13" s="9" t="inlineStr">
        <is>
          <t>EMPAX  MET</t>
        </is>
      </c>
      <c r="C13" s="9" t="inlineStr">
        <is>
          <t>5/1000 mg</t>
        </is>
      </c>
      <c r="D13" s="9" t="inlineStr">
        <is>
          <t>5/1000 comp.rec.x 60</t>
        </is>
      </c>
      <c r="E13" s="10" t="n">
        <v>101071.86</v>
      </c>
      <c r="F13" s="10" t="n">
        <v>101071.86</v>
      </c>
      <c r="G13" s="10">
        <f>IFERROR(F13/60,"")</f>
        <v/>
      </c>
      <c r="H13" s="11" t="n"/>
      <c r="I13" s="11" t="n"/>
      <c r="J13" s="11">
        <f>IFERROR((G13-G11)/G11,"")</f>
        <v/>
      </c>
      <c r="K13" s="12" t="n">
        <v>824</v>
      </c>
      <c r="L13" s="11">
        <f>IFERROR(K13/SUM($K$11:$K$15),"")</f>
        <v/>
      </c>
      <c r="M13" s="13" t="n">
        <v>3</v>
      </c>
    </row>
    <row r="14">
      <c r="A14" t="inlineStr">
        <is>
          <t>Roemmers</t>
        </is>
      </c>
      <c r="B14" t="inlineStr">
        <is>
          <t>EDAGAN MET</t>
        </is>
      </c>
      <c r="C14" t="inlineStr">
        <is>
          <t>5/1000 mg</t>
        </is>
      </c>
      <c r="D14" t="inlineStr">
        <is>
          <t>5/1000 comp.rec.x 60</t>
        </is>
      </c>
      <c r="E14" s="2" t="n">
        <v>95840</v>
      </c>
      <c r="F14" s="2" t="n">
        <v>96511</v>
      </c>
      <c r="G14" s="2">
        <f>IFERROR(F14/60,"")</f>
        <v/>
      </c>
      <c r="H14" s="6">
        <f>IFERROR((F14-E14)/E14,"")</f>
        <v/>
      </c>
      <c r="I14" s="6">
        <f>IFERROR((G14-G13)/G13,"")</f>
        <v/>
      </c>
      <c r="J14" s="6">
        <f>IFERROR((G14-G11)/G11,"")</f>
        <v/>
      </c>
      <c r="K14" s="3" t="n">
        <v>691</v>
      </c>
      <c r="L14" s="6">
        <f>IFERROR(K14/SUM($K$11:$K$15),"")</f>
        <v/>
      </c>
      <c r="M14" s="8" t="n">
        <v>4</v>
      </c>
    </row>
    <row r="15">
      <c r="A15" t="inlineStr">
        <is>
          <t>Nolter</t>
        </is>
      </c>
      <c r="B15" t="inlineStr">
        <is>
          <t>EMADIANMET</t>
        </is>
      </c>
      <c r="C15" t="inlineStr">
        <is>
          <t>5/1000 mg</t>
        </is>
      </c>
      <c r="D15" t="inlineStr">
        <is>
          <t>5/1000 comp.rec.x 60</t>
        </is>
      </c>
      <c r="E15" s="2" t="n">
        <v>98116.68000000001</v>
      </c>
      <c r="F15" s="2" t="n">
        <v>103788.8</v>
      </c>
      <c r="G15" s="2">
        <f>IFERROR(F15/60,"")</f>
        <v/>
      </c>
      <c r="H15" s="6">
        <f>IFERROR((F15-E15)/E15,"")</f>
        <v/>
      </c>
      <c r="I15" s="6">
        <f>IFERROR((G15-G13)/G13,"")</f>
        <v/>
      </c>
      <c r="J15" s="6">
        <f>IFERROR((G15-G11)/G11,"")</f>
        <v/>
      </c>
      <c r="K15" s="3" t="n">
        <v>437</v>
      </c>
      <c r="L15" s="6">
        <f>IFERROR(K15/SUM($K$11:$K$15),"")</f>
        <v/>
      </c>
      <c r="M15" s="8" t="n">
        <v>5</v>
      </c>
    </row>
    <row r="17" ht="20" customHeight="1">
      <c r="A17" s="5" t="inlineStr">
        <is>
          <t>Dosis: 12.5/850 mg — empagliflozina+metformina clorh.</t>
        </is>
      </c>
    </row>
    <row r="18">
      <c r="A18" t="inlineStr">
        <is>
          <t>Boehringer Ingelheim</t>
        </is>
      </c>
      <c r="B18" t="inlineStr">
        <is>
          <t>JARDIANCE DUO</t>
        </is>
      </c>
      <c r="C18" t="inlineStr">
        <is>
          <t>12.5/850 mg</t>
        </is>
      </c>
      <c r="D18" t="inlineStr">
        <is>
          <t>12.5/850 comp.rec.x 60</t>
        </is>
      </c>
      <c r="E18" s="2" t="n">
        <v>237998.17</v>
      </c>
      <c r="F18" s="2" t="n">
        <v>252516.06</v>
      </c>
      <c r="G18" s="2">
        <f>IFERROR(F18/60,"")</f>
        <v/>
      </c>
      <c r="H18" s="6">
        <f>IFERROR((F18-E18)/E18,"")</f>
        <v/>
      </c>
      <c r="I18" s="6">
        <f>IFERROR((G18-G22)/G22,"")</f>
        <v/>
      </c>
      <c r="J18" s="7" t="inlineStr">
        <is>
          <t>Líder</t>
        </is>
      </c>
      <c r="K18" s="3" t="n">
        <v>5099</v>
      </c>
      <c r="L18" s="6">
        <f>IFERROR(K18/SUM($K$18:$K$22),"")</f>
        <v/>
      </c>
      <c r="M18" s="8" t="n">
        <v>1</v>
      </c>
    </row>
    <row r="19">
      <c r="A19" t="inlineStr">
        <is>
          <t>Casasco</t>
        </is>
      </c>
      <c r="B19" t="inlineStr">
        <is>
          <t>SAGLOX MET</t>
        </is>
      </c>
      <c r="C19" t="inlineStr">
        <is>
          <t>12.5/850 mg</t>
        </is>
      </c>
      <c r="D19" t="inlineStr">
        <is>
          <t>12.5/850 comp.rec.x 60</t>
        </is>
      </c>
      <c r="E19" s="2" t="n">
        <v>104946.47</v>
      </c>
      <c r="F19" s="2" t="n">
        <v>107989.91</v>
      </c>
      <c r="G19" s="2">
        <f>IFERROR(F19/60,"")</f>
        <v/>
      </c>
      <c r="H19" s="6">
        <f>IFERROR((F19-E19)/E19,"")</f>
        <v/>
      </c>
      <c r="I19" s="6">
        <f>IFERROR((G19-G22)/G22,"")</f>
        <v/>
      </c>
      <c r="J19" s="6">
        <f>IFERROR((G19-G18)/G18,"")</f>
        <v/>
      </c>
      <c r="K19" s="3" t="n"/>
      <c r="L19" s="6">
        <f>IFERROR(K19/SUM($K$18:$K$22),"")</f>
        <v/>
      </c>
      <c r="M19" s="8" t="n">
        <v>2</v>
      </c>
    </row>
    <row r="20">
      <c r="A20" t="inlineStr">
        <is>
          <t>Nolter</t>
        </is>
      </c>
      <c r="B20" t="inlineStr">
        <is>
          <t>EMADIANMET</t>
        </is>
      </c>
      <c r="C20" t="inlineStr">
        <is>
          <t>12.5/850 mg</t>
        </is>
      </c>
      <c r="D20" t="inlineStr">
        <is>
          <t>12.5/850 comp.rec.x 60</t>
        </is>
      </c>
      <c r="E20" s="2" t="n">
        <v>107473.92</v>
      </c>
      <c r="F20" s="2" t="n">
        <v>113686.98</v>
      </c>
      <c r="G20" s="2">
        <f>IFERROR(F20/60,"")</f>
        <v/>
      </c>
      <c r="H20" s="6">
        <f>IFERROR((F20-E20)/E20,"")</f>
        <v/>
      </c>
      <c r="I20" s="6">
        <f>IFERROR((G20-G22)/G22,"")</f>
        <v/>
      </c>
      <c r="J20" s="6">
        <f>IFERROR((G20-G18)/G18,"")</f>
        <v/>
      </c>
      <c r="K20" s="3" t="n"/>
      <c r="L20" s="6">
        <f>IFERROR(K20/SUM($K$18:$K$22),"")</f>
        <v/>
      </c>
      <c r="M20" s="8" t="n">
        <v>3</v>
      </c>
    </row>
    <row r="21">
      <c r="A21" t="inlineStr">
        <is>
          <t>Roemmers</t>
        </is>
      </c>
      <c r="B21" t="inlineStr">
        <is>
          <t>EDAGAN MET</t>
        </is>
      </c>
      <c r="C21" t="inlineStr">
        <is>
          <t>12.5/850 mg</t>
        </is>
      </c>
      <c r="D21" t="inlineStr">
        <is>
          <t>12.5/850 comp.rec.x 60</t>
        </is>
      </c>
      <c r="E21" s="2" t="n">
        <v>104983</v>
      </c>
      <c r="F21" s="2" t="n">
        <v>105718</v>
      </c>
      <c r="G21" s="2">
        <f>IFERROR(F21/60,"")</f>
        <v/>
      </c>
      <c r="H21" s="6">
        <f>IFERROR((F21-E21)/E21,"")</f>
        <v/>
      </c>
      <c r="I21" s="6">
        <f>IFERROR((G21-G22)/G22,"")</f>
        <v/>
      </c>
      <c r="J21" s="6">
        <f>IFERROR((G21-G18)/G18,"")</f>
        <v/>
      </c>
      <c r="K21" s="3" t="n"/>
      <c r="L21" s="6">
        <f>IFERROR(K21/SUM($K$18:$K$22),"")</f>
        <v/>
      </c>
      <c r="M21" s="8" t="n">
        <v>4</v>
      </c>
    </row>
    <row r="22">
      <c r="A22" s="9" t="inlineStr">
        <is>
          <t>Siegfried ★ SIE</t>
        </is>
      </c>
      <c r="B22" s="9" t="inlineStr">
        <is>
          <t>EMPAX  MET</t>
        </is>
      </c>
      <c r="C22" s="9" t="inlineStr">
        <is>
          <t>12.5/850 mg</t>
        </is>
      </c>
      <c r="D22" s="9" t="inlineStr">
        <is>
          <t>12.5/850 comp.rec.x 60</t>
        </is>
      </c>
      <c r="E22" s="10" t="n">
        <v>111178.12</v>
      </c>
      <c r="F22" s="10" t="n">
        <v>111178.12</v>
      </c>
      <c r="G22" s="10">
        <f>IFERROR(F22/60,"")</f>
        <v/>
      </c>
      <c r="H22" s="11" t="n"/>
      <c r="I22" s="11" t="n"/>
      <c r="J22" s="11">
        <f>IFERROR((G22-G18)/G18,"")</f>
        <v/>
      </c>
      <c r="K22" s="12" t="n"/>
      <c r="L22" s="11">
        <f>IFERROR(K22/SUM($K$18:$K$22),"")</f>
        <v/>
      </c>
      <c r="M22" s="13" t="n">
        <v>5</v>
      </c>
    </row>
    <row r="24" ht="20" customHeight="1">
      <c r="A24" s="5" t="inlineStr">
        <is>
          <t>Dosis: 12.5/1000 mg — empagliflozina+metformina clorh.</t>
        </is>
      </c>
    </row>
    <row r="25">
      <c r="A25" t="inlineStr">
        <is>
          <t>Boehringer Ingelheim</t>
        </is>
      </c>
      <c r="B25" t="inlineStr">
        <is>
          <t>JARDIANCE DUO</t>
        </is>
      </c>
      <c r="C25" t="inlineStr">
        <is>
          <t>12.5/1000 mg</t>
        </is>
      </c>
      <c r="D25" t="inlineStr">
        <is>
          <t>12.5/1000 comp.rec.x 60</t>
        </is>
      </c>
      <c r="E25" s="2" t="n">
        <v>237998.17</v>
      </c>
      <c r="F25" s="2" t="n">
        <v>252516.06</v>
      </c>
      <c r="G25" s="2">
        <f>IFERROR(F25/60,"")</f>
        <v/>
      </c>
      <c r="H25" s="6">
        <f>IFERROR((F25-E25)/E25,"")</f>
        <v/>
      </c>
      <c r="I25" s="6">
        <f>IFERROR((G25-G30)/G30,"")</f>
        <v/>
      </c>
      <c r="J25" s="7" t="inlineStr">
        <is>
          <t>Líder</t>
        </is>
      </c>
      <c r="K25" s="3" t="n">
        <v>13491</v>
      </c>
      <c r="L25" s="6">
        <f>IFERROR(K25/SUM($K$25:$K$30),"")</f>
        <v/>
      </c>
      <c r="M25" s="8" t="n">
        <v>1</v>
      </c>
    </row>
    <row r="26">
      <c r="A26" t="inlineStr">
        <is>
          <t>Casasco</t>
        </is>
      </c>
      <c r="B26" t="inlineStr">
        <is>
          <t>SAGLOX MET</t>
        </is>
      </c>
      <c r="C26" t="inlineStr">
        <is>
          <t>12.5/1000 mg</t>
        </is>
      </c>
      <c r="D26" t="inlineStr">
        <is>
          <t>12.5/1000 comp.rec.x 60</t>
        </is>
      </c>
      <c r="E26" s="2" t="n">
        <v>104946.47</v>
      </c>
      <c r="F26" s="2" t="n">
        <v>107989.91</v>
      </c>
      <c r="G26" s="2">
        <f>IFERROR(F26/60,"")</f>
        <v/>
      </c>
      <c r="H26" s="6">
        <f>IFERROR((F26-E26)/E26,"")</f>
        <v/>
      </c>
      <c r="I26" s="6">
        <f>IFERROR((G26-G30)/G30,"")</f>
        <v/>
      </c>
      <c r="J26" s="6">
        <f>IFERROR((G26-G25)/G25,"")</f>
        <v/>
      </c>
      <c r="K26" s="3" t="n"/>
      <c r="L26" s="6">
        <f>IFERROR(K26/SUM($K$25:$K$30),"")</f>
        <v/>
      </c>
      <c r="M26" s="8" t="n">
        <v>2</v>
      </c>
    </row>
    <row r="27">
      <c r="A27" t="inlineStr">
        <is>
          <t>Laboratorios Bernabó</t>
        </is>
      </c>
      <c r="B27" t="inlineStr">
        <is>
          <t>EMGLIBER MET</t>
        </is>
      </c>
      <c r="C27" t="inlineStr">
        <is>
          <t>12.5/1000 mg</t>
        </is>
      </c>
      <c r="D27" t="inlineStr">
        <is>
          <t>12.5/1000 comp.rec.x 60</t>
        </is>
      </c>
      <c r="E27" s="2" t="n">
        <v>103902.07</v>
      </c>
      <c r="F27" s="2" t="n">
        <v>106915.23</v>
      </c>
      <c r="G27" s="2">
        <f>IFERROR(F27/60,"")</f>
        <v/>
      </c>
      <c r="H27" s="6">
        <f>IFERROR((F27-E27)/E27,"")</f>
        <v/>
      </c>
      <c r="I27" s="6">
        <f>IFERROR((G27-G30)/G30,"")</f>
        <v/>
      </c>
      <c r="J27" s="6">
        <f>IFERROR((G27-G25)/G25,"")</f>
        <v/>
      </c>
      <c r="K27" s="3" t="n"/>
      <c r="L27" s="6">
        <f>IFERROR(K27/SUM($K$25:$K$30),"")</f>
        <v/>
      </c>
      <c r="M27" s="8" t="n">
        <v>3</v>
      </c>
    </row>
    <row r="28">
      <c r="A28" t="inlineStr">
        <is>
          <t>Nolter</t>
        </is>
      </c>
      <c r="B28" t="inlineStr">
        <is>
          <t>EMADIANMET</t>
        </is>
      </c>
      <c r="C28" t="inlineStr">
        <is>
          <t>12.5/1000 mg</t>
        </is>
      </c>
      <c r="D28" t="inlineStr">
        <is>
          <t>12.5/1000 comp.rec.x 60</t>
        </is>
      </c>
      <c r="E28" s="2" t="n">
        <v>107473.92</v>
      </c>
      <c r="F28" s="2" t="n">
        <v>113686.98</v>
      </c>
      <c r="G28" s="2">
        <f>IFERROR(F28/60,"")</f>
        <v/>
      </c>
      <c r="H28" s="6">
        <f>IFERROR((F28-E28)/E28,"")</f>
        <v/>
      </c>
      <c r="I28" s="6">
        <f>IFERROR((G28-G30)/G30,"")</f>
        <v/>
      </c>
      <c r="J28" s="6">
        <f>IFERROR((G28-G25)/G25,"")</f>
        <v/>
      </c>
      <c r="K28" s="3" t="n"/>
      <c r="L28" s="6">
        <f>IFERROR(K28/SUM($K$25:$K$30),"")</f>
        <v/>
      </c>
      <c r="M28" s="8" t="n">
        <v>4</v>
      </c>
    </row>
    <row r="29">
      <c r="A29" t="inlineStr">
        <is>
          <t>Roemmers</t>
        </is>
      </c>
      <c r="B29" t="inlineStr">
        <is>
          <t>EDAGAN MET</t>
        </is>
      </c>
      <c r="C29" t="inlineStr">
        <is>
          <t>12.5/1000 mg</t>
        </is>
      </c>
      <c r="D29" t="inlineStr">
        <is>
          <t>12.5/1000 comp.rec.x 60</t>
        </is>
      </c>
      <c r="E29" s="2" t="n">
        <v>104983</v>
      </c>
      <c r="F29" s="2" t="n">
        <v>105718</v>
      </c>
      <c r="G29" s="2">
        <f>IFERROR(F29/60,"")</f>
        <v/>
      </c>
      <c r="H29" s="6">
        <f>IFERROR((F29-E29)/E29,"")</f>
        <v/>
      </c>
      <c r="I29" s="6">
        <f>IFERROR((G29-G30)/G30,"")</f>
        <v/>
      </c>
      <c r="J29" s="6">
        <f>IFERROR((G29-G25)/G25,"")</f>
        <v/>
      </c>
      <c r="K29" s="3" t="n"/>
      <c r="L29" s="6">
        <f>IFERROR(K29/SUM($K$25:$K$30),"")</f>
        <v/>
      </c>
      <c r="M29" s="8" t="n">
        <v>5</v>
      </c>
    </row>
    <row r="30">
      <c r="A30" s="9" t="inlineStr">
        <is>
          <t>Siegfried ★ SIE</t>
        </is>
      </c>
      <c r="B30" s="9" t="inlineStr">
        <is>
          <t>EMPAX  MET</t>
        </is>
      </c>
      <c r="C30" s="9" t="inlineStr">
        <is>
          <t>12.5/1000 mg</t>
        </is>
      </c>
      <c r="D30" s="9" t="inlineStr">
        <is>
          <t>12.5/1000 comp.rec.x 60</t>
        </is>
      </c>
      <c r="E30" s="10" t="n">
        <v>111178.12</v>
      </c>
      <c r="F30" s="10" t="n">
        <v>111178.12</v>
      </c>
      <c r="G30" s="10">
        <f>IFERROR(F30/60,"")</f>
        <v/>
      </c>
      <c r="H30" s="11" t="n"/>
      <c r="I30" s="11" t="n"/>
      <c r="J30" s="11">
        <f>IFERROR((G30-G25)/G25,"")</f>
        <v/>
      </c>
      <c r="K30" s="12" t="n"/>
      <c r="L30" s="11">
        <f>IFERROR(K30/SUM($K$25:$K$30),"")</f>
        <v/>
      </c>
      <c r="M30" s="13" t="n">
        <v>6</v>
      </c>
    </row>
  </sheetData>
  <mergeCells count="4">
    <mergeCell ref="A24:M24"/>
    <mergeCell ref="A2:M2"/>
    <mergeCell ref="A10:M10"/>
    <mergeCell ref="A17:M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" customWidth="1" min="1" max="1"/>
    <col width="20.83" customWidth="1" min="2" max="2"/>
    <col width="12" customWidth="1" min="3" max="3"/>
    <col width="28.83" customWidth="1" min="4" max="4"/>
    <col width="14.83" customWidth="1" min="5" max="5"/>
    <col width="14.83" customWidth="1" min="6" max="6"/>
    <col width="12.83" customWidth="1" min="7" max="7"/>
    <col width="8.83" customWidth="1" min="8" max="8"/>
    <col width="10.83" customWidth="1" min="9" max="9"/>
    <col width="10.83" customWidth="1" min="10" max="10"/>
    <col width="12.83" customWidth="1" min="11" max="11"/>
    <col width="8.83" customWidth="1" min="12" max="12"/>
    <col width="6.83" customWidth="1" min="13" max="13"/>
  </cols>
  <sheetData>
    <row r="1">
      <c r="A1" s="4" t="inlineStr">
        <is>
          <t>Laboratorio</t>
        </is>
      </c>
      <c r="B1" s="4" t="inlineStr">
        <is>
          <t>Producto</t>
        </is>
      </c>
      <c r="C1" s="4" t="inlineStr">
        <is>
          <t>Dosis</t>
        </is>
      </c>
      <c r="D1" s="4" t="inlineStr">
        <is>
          <t>Presentación</t>
        </is>
      </c>
      <c r="E1" s="4" t="inlineStr">
        <is>
          <t>PVP Feb 2026</t>
        </is>
      </c>
      <c r="F1" s="4" t="inlineStr">
        <is>
          <t>PVP Abr 2026</t>
        </is>
      </c>
      <c r="G1" s="4" t="inlineStr">
        <is>
          <t>PVP/Unidad</t>
        </is>
      </c>
      <c r="H1" s="4" t="inlineStr">
        <is>
          <t>Var %</t>
        </is>
      </c>
      <c r="I1" s="4" t="inlineStr">
        <is>
          <t>VS SIE</t>
        </is>
      </c>
      <c r="J1" s="4" t="inlineStr">
        <is>
          <t>VS Líder</t>
        </is>
      </c>
      <c r="K1" s="4" t="inlineStr">
        <is>
          <t>IQVIA MAT U.</t>
        </is>
      </c>
      <c r="L1" s="4" t="inlineStr">
        <is>
          <t>Share %</t>
        </is>
      </c>
      <c r="M1" s="4" t="inlineStr">
        <is>
          <t>Ranking</t>
        </is>
      </c>
    </row>
    <row r="2" ht="20" customHeight="1">
      <c r="A2" s="5" t="inlineStr">
        <is>
          <t>Dosis: 50 mg — sacubitrilo+valsartan</t>
        </is>
      </c>
    </row>
    <row r="3">
      <c r="A3" s="9" t="inlineStr">
        <is>
          <t>Siegfried ★ SIE</t>
        </is>
      </c>
      <c r="B3" s="9" t="inlineStr">
        <is>
          <t>ENTRESTO</t>
        </is>
      </c>
      <c r="C3" s="9" t="inlineStr">
        <is>
          <t>50 mg</t>
        </is>
      </c>
      <c r="D3" s="9" t="inlineStr">
        <is>
          <t>50 mg comp.rec.x 30</t>
        </is>
      </c>
      <c r="E3" s="10" t="n">
        <v>88309.3</v>
      </c>
      <c r="F3" s="10" t="n">
        <v>88309.3</v>
      </c>
      <c r="G3" s="10">
        <f>IFERROR(F3/30,"")</f>
        <v/>
      </c>
      <c r="H3" s="11" t="n"/>
      <c r="I3" s="11" t="n"/>
      <c r="J3" s="7" t="inlineStr">
        <is>
          <t>Líder</t>
        </is>
      </c>
      <c r="K3" s="12" t="n">
        <v>131683</v>
      </c>
      <c r="L3" s="11">
        <f>IFERROR(K3/SUM($K$3:$K$5),"")</f>
        <v/>
      </c>
      <c r="M3" s="13" t="n">
        <v>1</v>
      </c>
    </row>
    <row r="4">
      <c r="A4" t="inlineStr">
        <is>
          <t>Elea</t>
        </is>
      </c>
      <c r="B4" t="inlineStr">
        <is>
          <t>RISTONEL</t>
        </is>
      </c>
      <c r="C4" t="inlineStr">
        <is>
          <t>50 mg</t>
        </is>
      </c>
      <c r="D4" t="inlineStr">
        <is>
          <t>50 mg comp.rec.x 30</t>
        </is>
      </c>
      <c r="E4" s="2" t="n">
        <v>89683.68000000001</v>
      </c>
      <c r="F4" s="2" t="n">
        <v>91028.94</v>
      </c>
      <c r="G4" s="2">
        <f>IFERROR(F4/30,"")</f>
        <v/>
      </c>
      <c r="H4" s="6">
        <f>IFERROR((F4-E4)/E4,"")</f>
        <v/>
      </c>
      <c r="I4" s="6">
        <f>IFERROR((G4-G3)/G3,"")</f>
        <v/>
      </c>
      <c r="J4" s="6">
        <f>IFERROR((G4-G3)/G3,"")</f>
        <v/>
      </c>
      <c r="K4" s="3" t="n">
        <v>44791</v>
      </c>
      <c r="L4" s="6">
        <f>IFERROR(K4/SUM($K$3:$K$5),"")</f>
        <v/>
      </c>
      <c r="M4" s="8" t="n">
        <v>2</v>
      </c>
    </row>
    <row r="5">
      <c r="A5" t="inlineStr">
        <is>
          <t>Adium</t>
        </is>
      </c>
      <c r="B5" t="inlineStr">
        <is>
          <t>DUPERTAN</t>
        </is>
      </c>
      <c r="C5" t="inlineStr">
        <is>
          <t>50 mg</t>
        </is>
      </c>
      <c r="D5" t="inlineStr">
        <is>
          <t>50 mg comp.rec.x 30</t>
        </is>
      </c>
      <c r="E5" s="2" t="n">
        <v>89644.61</v>
      </c>
      <c r="F5" s="2" t="n">
        <v>92627.27</v>
      </c>
      <c r="G5" s="2">
        <f>IFERROR(F5/30,"")</f>
        <v/>
      </c>
      <c r="H5" s="6">
        <f>IFERROR((F5-E5)/E5,"")</f>
        <v/>
      </c>
      <c r="I5" s="6">
        <f>IFERROR((G5-G3)/G3,"")</f>
        <v/>
      </c>
      <c r="J5" s="6">
        <f>IFERROR((G5-G3)/G3,"")</f>
        <v/>
      </c>
      <c r="K5" s="3" t="n">
        <v>36845</v>
      </c>
      <c r="L5" s="6">
        <f>IFERROR(K5/SUM($K$3:$K$5),"")</f>
        <v/>
      </c>
      <c r="M5" s="8" t="n">
        <v>3</v>
      </c>
    </row>
    <row r="7" ht="20" customHeight="1">
      <c r="A7" s="5" t="inlineStr">
        <is>
          <t>Dosis: 100 mg — sacubitrilo+valsartan</t>
        </is>
      </c>
    </row>
    <row r="8">
      <c r="A8" s="9" t="inlineStr">
        <is>
          <t>Siegfried ★ SIE</t>
        </is>
      </c>
      <c r="B8" s="9" t="inlineStr">
        <is>
          <t>ENTRESTO</t>
        </is>
      </c>
      <c r="C8" s="9" t="inlineStr">
        <is>
          <t>100 mg</t>
        </is>
      </c>
      <c r="D8" s="9" t="inlineStr">
        <is>
          <t>100 mg comp.rec.x 30</t>
        </is>
      </c>
      <c r="E8" s="10" t="n">
        <v>88309.3</v>
      </c>
      <c r="F8" s="10" t="n">
        <v>88309.3</v>
      </c>
      <c r="G8" s="10">
        <f>IFERROR(F8/30,"")</f>
        <v/>
      </c>
      <c r="H8" s="11" t="n"/>
      <c r="I8" s="11" t="n"/>
      <c r="J8" s="7" t="inlineStr">
        <is>
          <t>Líder</t>
        </is>
      </c>
      <c r="K8" s="12" t="n">
        <v>39687</v>
      </c>
      <c r="L8" s="11">
        <f>IFERROR(K8/SUM($K$8:$K$12),"")</f>
        <v/>
      </c>
      <c r="M8" s="13" t="n">
        <v>1</v>
      </c>
    </row>
    <row r="9">
      <c r="A9" t="inlineStr">
        <is>
          <t>Elea</t>
        </is>
      </c>
      <c r="B9" t="inlineStr">
        <is>
          <t>RISTONEL</t>
        </is>
      </c>
      <c r="C9" t="inlineStr">
        <is>
          <t>100 mg</t>
        </is>
      </c>
      <c r="D9" t="inlineStr">
        <is>
          <t>100 mg comp.rec.x 30</t>
        </is>
      </c>
      <c r="E9" s="2" t="n">
        <v>95145.42</v>
      </c>
      <c r="F9" s="2" t="n">
        <v>96572.60000000001</v>
      </c>
      <c r="G9" s="2">
        <f>IFERROR(F9/30,"")</f>
        <v/>
      </c>
      <c r="H9" s="6">
        <f>IFERROR((F9-E9)/E9,"")</f>
        <v/>
      </c>
      <c r="I9" s="6">
        <f>IFERROR((G9-G8)/G8,"")</f>
        <v/>
      </c>
      <c r="J9" s="6">
        <f>IFERROR((G9-G8)/G8,"")</f>
        <v/>
      </c>
      <c r="K9" s="3" t="n">
        <v>19290</v>
      </c>
      <c r="L9" s="6">
        <f>IFERROR(K9/SUM($K$8:$K$12),"")</f>
        <v/>
      </c>
      <c r="M9" s="8" t="n">
        <v>2</v>
      </c>
    </row>
    <row r="10">
      <c r="A10" t="inlineStr">
        <is>
          <t>Adium</t>
        </is>
      </c>
      <c r="B10" t="inlineStr">
        <is>
          <t>DUPERTAN</t>
        </is>
      </c>
      <c r="C10" t="inlineStr">
        <is>
          <t>100 mg</t>
        </is>
      </c>
      <c r="D10" t="inlineStr">
        <is>
          <t>100 mg comp.rec.x 30</t>
        </is>
      </c>
      <c r="E10" s="2" t="n">
        <v>92789.75</v>
      </c>
      <c r="F10" s="2" t="n">
        <v>97915.55</v>
      </c>
      <c r="G10" s="2">
        <f>IFERROR(F10/30,"")</f>
        <v/>
      </c>
      <c r="H10" s="6">
        <f>IFERROR((F10-E10)/E10,"")</f>
        <v/>
      </c>
      <c r="I10" s="6">
        <f>IFERROR((G10-G8)/G8,"")</f>
        <v/>
      </c>
      <c r="J10" s="6">
        <f>IFERROR((G10-G8)/G8,"")</f>
        <v/>
      </c>
      <c r="K10" s="3" t="n">
        <v>15461</v>
      </c>
      <c r="L10" s="6">
        <f>IFERROR(K10/SUM($K$8:$K$12),"")</f>
        <v/>
      </c>
      <c r="M10" s="8" t="n">
        <v>3</v>
      </c>
    </row>
    <row r="11">
      <c r="A11" t="inlineStr">
        <is>
          <t>Elea</t>
        </is>
      </c>
      <c r="B11" t="inlineStr">
        <is>
          <t>RISTONEL</t>
        </is>
      </c>
      <c r="C11" t="inlineStr">
        <is>
          <t>100 mg</t>
        </is>
      </c>
      <c r="D11" t="inlineStr">
        <is>
          <t>100 mg comp.rec.x 60</t>
        </is>
      </c>
      <c r="E11" s="2" t="n">
        <v>185815.42</v>
      </c>
      <c r="F11" s="2" t="n">
        <v>188602.65</v>
      </c>
      <c r="G11" s="2">
        <f>IFERROR(F11/60,"")</f>
        <v/>
      </c>
      <c r="H11" s="6">
        <f>IFERROR((F11-E11)/E11,"")</f>
        <v/>
      </c>
      <c r="I11" s="6">
        <f>IFERROR((G11-G8)/G8,"")</f>
        <v/>
      </c>
      <c r="J11" s="6">
        <f>IFERROR((G11-G8)/G8,"")</f>
        <v/>
      </c>
      <c r="K11" s="3" t="n">
        <v>10178</v>
      </c>
      <c r="L11" s="6">
        <f>IFERROR(K11/SUM($K$8:$K$12),"")</f>
        <v/>
      </c>
      <c r="M11" s="8" t="n">
        <v>4</v>
      </c>
    </row>
    <row r="12">
      <c r="A12" t="inlineStr">
        <is>
          <t>Adium</t>
        </is>
      </c>
      <c r="B12" t="inlineStr">
        <is>
          <t>DUPERTAN</t>
        </is>
      </c>
      <c r="C12" t="inlineStr">
        <is>
          <t>100 mg</t>
        </is>
      </c>
      <c r="D12" t="inlineStr">
        <is>
          <t>100 mg comp.rec.x 60</t>
        </is>
      </c>
      <c r="E12" s="2" t="n">
        <v>181582.55</v>
      </c>
      <c r="F12" s="2" t="n">
        <v>191613.35</v>
      </c>
      <c r="G12" s="2">
        <f>IFERROR(F12/60,"")</f>
        <v/>
      </c>
      <c r="H12" s="6">
        <f>IFERROR((F12-E12)/E12,"")</f>
        <v/>
      </c>
      <c r="I12" s="6">
        <f>IFERROR((G12-G8)/G8,"")</f>
        <v/>
      </c>
      <c r="J12" s="6">
        <f>IFERROR((G12-G8)/G8,"")</f>
        <v/>
      </c>
      <c r="K12" s="3" t="n">
        <v>9291</v>
      </c>
      <c r="L12" s="6">
        <f>IFERROR(K12/SUM($K$8:$K$12),"")</f>
        <v/>
      </c>
      <c r="M12" s="8" t="n">
        <v>5</v>
      </c>
    </row>
    <row r="14" ht="20" customHeight="1">
      <c r="A14" s="5" t="inlineStr">
        <is>
          <t>Dosis: 200 mg — sacubitrilo+valsartan</t>
        </is>
      </c>
    </row>
    <row r="15">
      <c r="A15" s="9" t="inlineStr">
        <is>
          <t>Siegfried ★ SIE</t>
        </is>
      </c>
      <c r="B15" s="9" t="inlineStr">
        <is>
          <t>ENTRESTO</t>
        </is>
      </c>
      <c r="C15" s="9" t="inlineStr">
        <is>
          <t>200 mg</t>
        </is>
      </c>
      <c r="D15" s="9" t="inlineStr">
        <is>
          <t>200 mg comp.rec.x 60</t>
        </is>
      </c>
      <c r="E15" s="10" t="n">
        <v>176618.7</v>
      </c>
      <c r="F15" s="10" t="n">
        <v>176618.7</v>
      </c>
      <c r="G15" s="10">
        <f>IFERROR(F15/60,"")</f>
        <v/>
      </c>
      <c r="H15" s="11" t="n"/>
      <c r="I15" s="11" t="n"/>
      <c r="J15" s="7" t="inlineStr">
        <is>
          <t>Líder</t>
        </is>
      </c>
      <c r="K15" s="12" t="n">
        <v>17675</v>
      </c>
      <c r="L15" s="11">
        <f>IFERROR(K15/SUM($K$15:$K$17),"")</f>
        <v/>
      </c>
      <c r="M15" s="13" t="n">
        <v>1</v>
      </c>
    </row>
    <row r="16">
      <c r="A16" t="inlineStr">
        <is>
          <t>Adium</t>
        </is>
      </c>
      <c r="B16" t="inlineStr">
        <is>
          <t>DUPERTAN</t>
        </is>
      </c>
      <c r="C16" t="inlineStr">
        <is>
          <t>200 mg</t>
        </is>
      </c>
      <c r="D16" t="inlineStr">
        <is>
          <t>200 mg comp.rec.x 60</t>
        </is>
      </c>
      <c r="E16" s="2" t="n">
        <v>196224.89</v>
      </c>
      <c r="F16" s="2" t="n">
        <v>207064.55</v>
      </c>
      <c r="G16" s="2">
        <f>IFERROR(F16/60,"")</f>
        <v/>
      </c>
      <c r="H16" s="6">
        <f>IFERROR((F16-E16)/E16,"")</f>
        <v/>
      </c>
      <c r="I16" s="6">
        <f>IFERROR((G16-G15)/G15,"")</f>
        <v/>
      </c>
      <c r="J16" s="6">
        <f>IFERROR((G16-G15)/G15,"")</f>
        <v/>
      </c>
      <c r="K16" s="3" t="n">
        <v>5867</v>
      </c>
      <c r="L16" s="6">
        <f>IFERROR(K16/SUM($K$15:$K$17),"")</f>
        <v/>
      </c>
      <c r="M16" s="8" t="n">
        <v>2</v>
      </c>
    </row>
    <row r="17">
      <c r="A17" t="inlineStr">
        <is>
          <t>Elea</t>
        </is>
      </c>
      <c r="B17" t="inlineStr">
        <is>
          <t>RISTONEL</t>
        </is>
      </c>
      <c r="C17" t="inlineStr">
        <is>
          <t>200 mg</t>
        </is>
      </c>
      <c r="D17" t="inlineStr">
        <is>
          <t>200 mg comp.rec.x 60</t>
        </is>
      </c>
      <c r="E17" s="2" t="n">
        <v>202703</v>
      </c>
      <c r="F17" s="2" t="n">
        <v>205743.54</v>
      </c>
      <c r="G17" s="2">
        <f>IFERROR(F17/60,"")</f>
        <v/>
      </c>
      <c r="H17" s="6">
        <f>IFERROR((F17-E17)/E17,"")</f>
        <v/>
      </c>
      <c r="I17" s="6">
        <f>IFERROR((G17-G15)/G15,"")</f>
        <v/>
      </c>
      <c r="J17" s="6">
        <f>IFERROR((G17-G15)/G15,"")</f>
        <v/>
      </c>
      <c r="K17" s="3" t="n">
        <v>4593</v>
      </c>
      <c r="L17" s="6">
        <f>IFERROR(K17/SUM($K$15:$K$17),"")</f>
        <v/>
      </c>
      <c r="M17" s="8" t="n">
        <v>3</v>
      </c>
    </row>
  </sheetData>
  <mergeCells count="3">
    <mergeCell ref="A2:M2"/>
    <mergeCell ref="A14:M14"/>
    <mergeCell ref="A7:M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" customWidth="1" min="1" max="1"/>
    <col width="20.83" customWidth="1" min="2" max="2"/>
    <col width="12" customWidth="1" min="3" max="3"/>
    <col width="28.83" customWidth="1" min="4" max="4"/>
    <col width="14.83" customWidth="1" min="5" max="5"/>
    <col width="14.83" customWidth="1" min="6" max="6"/>
    <col width="12.83" customWidth="1" min="7" max="7"/>
    <col width="8.83" customWidth="1" min="8" max="8"/>
    <col width="10.83" customWidth="1" min="9" max="9"/>
    <col width="10.83" customWidth="1" min="10" max="10"/>
    <col width="12.83" customWidth="1" min="11" max="11"/>
    <col width="8.83" customWidth="1" min="12" max="12"/>
    <col width="6.83" customWidth="1" min="13" max="13"/>
  </cols>
  <sheetData>
    <row r="1">
      <c r="A1" s="4" t="inlineStr">
        <is>
          <t>Laboratorio</t>
        </is>
      </c>
      <c r="B1" s="4" t="inlineStr">
        <is>
          <t>Producto</t>
        </is>
      </c>
      <c r="C1" s="4" t="inlineStr">
        <is>
          <t>Dosis</t>
        </is>
      </c>
      <c r="D1" s="4" t="inlineStr">
        <is>
          <t>Presentación</t>
        </is>
      </c>
      <c r="E1" s="4" t="inlineStr">
        <is>
          <t>PVP Feb 2026</t>
        </is>
      </c>
      <c r="F1" s="4" t="inlineStr">
        <is>
          <t>PVP Abr 2026</t>
        </is>
      </c>
      <c r="G1" s="4" t="inlineStr">
        <is>
          <t>PVP/Unidad</t>
        </is>
      </c>
      <c r="H1" s="4" t="inlineStr">
        <is>
          <t>Var %</t>
        </is>
      </c>
      <c r="I1" s="4" t="inlineStr">
        <is>
          <t>VS SIE</t>
        </is>
      </c>
      <c r="J1" s="4" t="inlineStr">
        <is>
          <t>VS Líder</t>
        </is>
      </c>
      <c r="K1" s="4" t="inlineStr">
        <is>
          <t>IQVIA MAT U.</t>
        </is>
      </c>
      <c r="L1" s="4" t="inlineStr">
        <is>
          <t>Share %</t>
        </is>
      </c>
      <c r="M1" s="4" t="inlineStr">
        <is>
          <t>Ranking</t>
        </is>
      </c>
    </row>
    <row r="2" ht="20" customHeight="1">
      <c r="A2" s="5" t="inlineStr">
        <is>
          <t>Dosis: 5/160 mg — valsartan+amlodipina</t>
        </is>
      </c>
    </row>
    <row r="3">
      <c r="A3" t="inlineStr">
        <is>
          <t>Adium</t>
        </is>
      </c>
      <c r="B3" t="inlineStr">
        <is>
          <t>NOSTER</t>
        </is>
      </c>
      <c r="C3" t="inlineStr">
        <is>
          <t>5/160 mg</t>
        </is>
      </c>
      <c r="D3" t="inlineStr">
        <is>
          <t>5/160 mg comp.x 28</t>
        </is>
      </c>
      <c r="E3" s="2" t="n">
        <v>48596.63</v>
      </c>
      <c r="F3" s="2" t="n">
        <v>51181.19</v>
      </c>
      <c r="G3" s="2">
        <f>IFERROR(F3/28,"")</f>
        <v/>
      </c>
      <c r="H3" s="6">
        <f>IFERROR((F3-E3)/E3,"")</f>
        <v/>
      </c>
      <c r="I3" s="6">
        <f>IFERROR((G3-G4)/G4,"")</f>
        <v/>
      </c>
      <c r="J3" s="7" t="inlineStr">
        <is>
          <t>Líder</t>
        </is>
      </c>
      <c r="K3" s="3" t="n">
        <v>451472</v>
      </c>
      <c r="L3" s="6">
        <f>IFERROR(K3/SUM($K$3:$K$4),"")</f>
        <v/>
      </c>
      <c r="M3" s="8" t="n">
        <v>1</v>
      </c>
    </row>
    <row r="4">
      <c r="A4" s="9" t="inlineStr">
        <is>
          <t>Siegfried ★ SIE</t>
        </is>
      </c>
      <c r="B4" s="9" t="inlineStr">
        <is>
          <t>EXFORGE</t>
        </is>
      </c>
      <c r="C4" s="9" t="inlineStr">
        <is>
          <t>5/160 mg</t>
        </is>
      </c>
      <c r="D4" s="9" t="inlineStr">
        <is>
          <t>5/160 mg comp.rec.x 28</t>
        </is>
      </c>
      <c r="E4" s="10" t="n">
        <v>49952.08</v>
      </c>
      <c r="F4" s="10" t="n">
        <v>49952.08</v>
      </c>
      <c r="G4" s="10">
        <f>IFERROR(F4/28,"")</f>
        <v/>
      </c>
      <c r="H4" s="11" t="n"/>
      <c r="I4" s="11" t="n"/>
      <c r="J4" s="11">
        <f>IFERROR((G4-G3)/G3,"")</f>
        <v/>
      </c>
      <c r="K4" s="12" t="n">
        <v>102576</v>
      </c>
      <c r="L4" s="11">
        <f>IFERROR(K4/SUM($K$3:$K$4),"")</f>
        <v/>
      </c>
      <c r="M4" s="13" t="n">
        <v>2</v>
      </c>
    </row>
    <row r="6" ht="20" customHeight="1">
      <c r="A6" s="5" t="inlineStr">
        <is>
          <t>Dosis: 5/320 mg — valsartan+amlodipina</t>
        </is>
      </c>
    </row>
    <row r="7">
      <c r="A7" t="inlineStr">
        <is>
          <t>Adium</t>
        </is>
      </c>
      <c r="B7" t="inlineStr">
        <is>
          <t>NOSTER</t>
        </is>
      </c>
      <c r="C7" t="inlineStr">
        <is>
          <t>5/320 mg</t>
        </is>
      </c>
      <c r="D7" t="inlineStr">
        <is>
          <t>5/320 mg comp.x 28</t>
        </is>
      </c>
      <c r="E7" s="2" t="n">
        <v>61586.35</v>
      </c>
      <c r="F7" s="2" t="n">
        <v>64893.29</v>
      </c>
      <c r="G7" s="2">
        <f>IFERROR(F7/28,"")</f>
        <v/>
      </c>
      <c r="H7" s="6">
        <f>IFERROR((F7-E7)/E7,"")</f>
        <v/>
      </c>
      <c r="I7" s="6">
        <f>IFERROR((G7-G8)/G8,"")</f>
        <v/>
      </c>
      <c r="J7" s="7" t="inlineStr">
        <is>
          <t>Líder</t>
        </is>
      </c>
      <c r="K7" s="3" t="n">
        <v>36057</v>
      </c>
      <c r="L7" s="6">
        <f>IFERROR(K7/SUM($K$7:$K$8),"")</f>
        <v/>
      </c>
      <c r="M7" s="8" t="n">
        <v>1</v>
      </c>
    </row>
    <row r="8">
      <c r="A8" s="9" t="inlineStr">
        <is>
          <t>Siegfried ★ SIE</t>
        </is>
      </c>
      <c r="B8" s="9" t="inlineStr">
        <is>
          <t>EXFORGE</t>
        </is>
      </c>
      <c r="C8" s="9" t="inlineStr">
        <is>
          <t>5/320 mg</t>
        </is>
      </c>
      <c r="D8" s="9" t="inlineStr">
        <is>
          <t>5/320 mg comp.rec.x 28</t>
        </is>
      </c>
      <c r="E8" s="10" t="n">
        <v>64924.04</v>
      </c>
      <c r="F8" s="10" t="n">
        <v>64924.04</v>
      </c>
      <c r="G8" s="10">
        <f>IFERROR(F8/28,"")</f>
        <v/>
      </c>
      <c r="H8" s="11" t="n"/>
      <c r="I8" s="11" t="n"/>
      <c r="J8" s="11">
        <f>IFERROR((G8-G7)/G7,"")</f>
        <v/>
      </c>
      <c r="K8" s="12" t="n">
        <v>10005</v>
      </c>
      <c r="L8" s="11">
        <f>IFERROR(K8/SUM($K$7:$K$8),"")</f>
        <v/>
      </c>
      <c r="M8" s="13" t="n">
        <v>2</v>
      </c>
    </row>
    <row r="10" ht="20" customHeight="1">
      <c r="A10" s="5" t="inlineStr">
        <is>
          <t>Dosis: 5/80 mg — valsartan+amlodipina</t>
        </is>
      </c>
    </row>
    <row r="11">
      <c r="A11" s="9" t="inlineStr">
        <is>
          <t>Siegfried ★ SIE</t>
        </is>
      </c>
      <c r="B11" s="9" t="inlineStr">
        <is>
          <t>EXFORGE</t>
        </is>
      </c>
      <c r="C11" s="9" t="inlineStr">
        <is>
          <t>5/80 mg</t>
        </is>
      </c>
      <c r="D11" s="9" t="inlineStr">
        <is>
          <t>5/80 mg comp.rec.x 28</t>
        </is>
      </c>
      <c r="E11" s="10" t="n">
        <v>50919.77</v>
      </c>
      <c r="F11" s="10" t="n">
        <v>50919.77</v>
      </c>
      <c r="G11" s="10">
        <f>IFERROR(F11/28,"")</f>
        <v/>
      </c>
      <c r="H11" s="11" t="n"/>
      <c r="I11" s="11" t="n"/>
      <c r="J11" s="7" t="inlineStr">
        <is>
          <t>Líder</t>
        </is>
      </c>
      <c r="K11" s="12" t="n">
        <v>41713</v>
      </c>
      <c r="L11" s="11">
        <f>IFERROR(K11/SUM($K$11:$K$11),"")</f>
        <v/>
      </c>
      <c r="M11" s="13" t="n">
        <v>1</v>
      </c>
    </row>
    <row r="13" ht="20" customHeight="1">
      <c r="A13" s="5" t="inlineStr">
        <is>
          <t>Dosis: 10/160 mg — valsartan+amlodipina</t>
        </is>
      </c>
    </row>
    <row r="14">
      <c r="A14" t="inlineStr">
        <is>
          <t>Adium</t>
        </is>
      </c>
      <c r="B14" t="inlineStr">
        <is>
          <t>NOSTER</t>
        </is>
      </c>
      <c r="C14" t="inlineStr">
        <is>
          <t>10/160 mg</t>
        </is>
      </c>
      <c r="D14" t="inlineStr">
        <is>
          <t>10/160 mg comp.x 28</t>
        </is>
      </c>
      <c r="E14" s="2" t="n">
        <v>52150.91</v>
      </c>
      <c r="F14" s="2" t="n">
        <v>55511.93</v>
      </c>
      <c r="G14" s="2">
        <f>IFERROR(F14/28,"")</f>
        <v/>
      </c>
      <c r="H14" s="6">
        <f>IFERROR((F14-E14)/E14,"")</f>
        <v/>
      </c>
      <c r="I14" s="6">
        <f>IFERROR((G14-G15)/G15,"")</f>
        <v/>
      </c>
      <c r="J14" s="7" t="inlineStr">
        <is>
          <t>Líder</t>
        </is>
      </c>
      <c r="K14" s="3" t="n">
        <v>152541</v>
      </c>
      <c r="L14" s="6">
        <f>IFERROR(K14/SUM($K$14:$K$15),"")</f>
        <v/>
      </c>
      <c r="M14" s="8" t="n">
        <v>1</v>
      </c>
    </row>
    <row r="15">
      <c r="A15" s="9" t="inlineStr">
        <is>
          <t>Siegfried ★ SIE</t>
        </is>
      </c>
      <c r="B15" s="9" t="inlineStr">
        <is>
          <t>EXFORGE</t>
        </is>
      </c>
      <c r="C15" s="9" t="inlineStr">
        <is>
          <t>10/160 mg</t>
        </is>
      </c>
      <c r="D15" s="9" t="inlineStr">
        <is>
          <t>10/160 mg comp.rec.x 28</t>
        </is>
      </c>
      <c r="E15" s="10" t="n">
        <v>49952.08</v>
      </c>
      <c r="F15" s="10" t="n">
        <v>49952.08</v>
      </c>
      <c r="G15" s="10">
        <f>IFERROR(F15/28,"")</f>
        <v/>
      </c>
      <c r="H15" s="11" t="n"/>
      <c r="I15" s="11" t="n"/>
      <c r="J15" s="11">
        <f>IFERROR((G15-G14)/G14,"")</f>
        <v/>
      </c>
      <c r="K15" s="12" t="n">
        <v>36629</v>
      </c>
      <c r="L15" s="11">
        <f>IFERROR(K15/SUM($K$14:$K$15),"")</f>
        <v/>
      </c>
      <c r="M15" s="13" t="n">
        <v>2</v>
      </c>
    </row>
    <row r="17" ht="20" customHeight="1">
      <c r="A17" s="5" t="inlineStr">
        <is>
          <t>Dosis: 10/320 mg — valsartan+amlodipina</t>
        </is>
      </c>
    </row>
    <row r="18">
      <c r="A18" s="9" t="inlineStr">
        <is>
          <t>Siegfried ★ SIE</t>
        </is>
      </c>
      <c r="B18" s="9" t="inlineStr">
        <is>
          <t>EXFORGE</t>
        </is>
      </c>
      <c r="C18" s="9" t="inlineStr">
        <is>
          <t>10/320 mg</t>
        </is>
      </c>
      <c r="D18" s="9" t="inlineStr">
        <is>
          <t>10/320 mg comp.rec.x 28</t>
        </is>
      </c>
      <c r="E18" s="10" t="n">
        <v>63088.28</v>
      </c>
      <c r="F18" s="10" t="n">
        <v>63088.28</v>
      </c>
      <c r="G18" s="10">
        <f>IFERROR(F18/28,"")</f>
        <v/>
      </c>
      <c r="H18" s="11" t="n"/>
      <c r="I18" s="11" t="n"/>
      <c r="J18" s="7" t="inlineStr">
        <is>
          <t>Líder</t>
        </is>
      </c>
      <c r="K18" s="12" t="n">
        <v>8398</v>
      </c>
      <c r="L18" s="11">
        <f>IFERROR(K18/SUM($K$18:$K$18),"")</f>
        <v/>
      </c>
      <c r="M18" s="13" t="n">
        <v>1</v>
      </c>
    </row>
    <row r="20" ht="20" customHeight="1">
      <c r="A20" s="5" t="inlineStr">
        <is>
          <t>Dosis: 160/12.5/5 mg — valsartan+hidrocloroti.+amlodip.</t>
        </is>
      </c>
    </row>
    <row r="21">
      <c r="A21" t="inlineStr">
        <is>
          <t>Adium</t>
        </is>
      </c>
      <c r="B21" t="inlineStr">
        <is>
          <t>NOSTER D</t>
        </is>
      </c>
      <c r="C21" t="inlineStr">
        <is>
          <t>160/12.5/5 mg</t>
        </is>
      </c>
      <c r="D21" t="inlineStr">
        <is>
          <t>160/12.5/5 mg comp.x 28</t>
        </is>
      </c>
      <c r="E21" s="2" t="n">
        <v>62183.25</v>
      </c>
      <c r="F21" s="2" t="n">
        <v>65682.27</v>
      </c>
      <c r="G21" s="2">
        <f>IFERROR(F21/28,"")</f>
        <v/>
      </c>
      <c r="H21" s="6">
        <f>IFERROR((F21-E21)/E21,"")</f>
        <v/>
      </c>
      <c r="I21" s="6">
        <f>IFERROR((G21-G23)/G23,"")</f>
        <v/>
      </c>
      <c r="J21" s="7" t="inlineStr">
        <is>
          <t>Líder</t>
        </is>
      </c>
      <c r="K21" s="3" t="n">
        <v>334241</v>
      </c>
      <c r="L21" s="6">
        <f>IFERROR(K21/SUM($K$21:$K$27),"")</f>
        <v/>
      </c>
      <c r="M21" s="8" t="n">
        <v>1</v>
      </c>
    </row>
    <row r="22">
      <c r="A22" t="inlineStr">
        <is>
          <t>Baliarda</t>
        </is>
      </c>
      <c r="B22" t="inlineStr">
        <is>
          <t>DISARVAL D</t>
        </is>
      </c>
      <c r="C22" t="inlineStr">
        <is>
          <t>160/12.5/5 mg</t>
        </is>
      </c>
      <c r="D22" t="inlineStr">
        <is>
          <t>160/12.5/5 mg comp.x 30</t>
        </is>
      </c>
      <c r="E22" s="2" t="n">
        <v>61121.37</v>
      </c>
      <c r="F22" s="2" t="n">
        <v>61732.58</v>
      </c>
      <c r="G22" s="2">
        <f>IFERROR(F22/30,"")</f>
        <v/>
      </c>
      <c r="H22" s="6">
        <f>IFERROR((F22-E22)/E22,"")</f>
        <v/>
      </c>
      <c r="I22" s="6">
        <f>IFERROR((G22-G23)/G23,"")</f>
        <v/>
      </c>
      <c r="J22" s="6">
        <f>IFERROR((G22-G21)/G21,"")</f>
        <v/>
      </c>
      <c r="K22" s="3" t="n">
        <v>150495</v>
      </c>
      <c r="L22" s="6">
        <f>IFERROR(K22/SUM($K$21:$K$27),"")</f>
        <v/>
      </c>
      <c r="M22" s="8" t="n">
        <v>2</v>
      </c>
    </row>
    <row r="23">
      <c r="A23" s="9" t="inlineStr">
        <is>
          <t>Siegfried ★ SIE</t>
        </is>
      </c>
      <c r="B23" s="9" t="inlineStr">
        <is>
          <t>EXFORGE D</t>
        </is>
      </c>
      <c r="C23" s="9" t="inlineStr">
        <is>
          <t>160/12.5/5 mg</t>
        </is>
      </c>
      <c r="D23" s="9" t="inlineStr">
        <is>
          <t>160/12.5/5 mg comp.x 28</t>
        </is>
      </c>
      <c r="E23" s="10" t="n">
        <v>61975.57</v>
      </c>
      <c r="F23" s="10" t="n">
        <v>61975.57</v>
      </c>
      <c r="G23" s="10">
        <f>IFERROR(F23/28,"")</f>
        <v/>
      </c>
      <c r="H23" s="11" t="n"/>
      <c r="I23" s="11" t="n"/>
      <c r="J23" s="11">
        <f>IFERROR((G23-G21)/G21,"")</f>
        <v/>
      </c>
      <c r="K23" s="12" t="n">
        <v>54920</v>
      </c>
      <c r="L23" s="11">
        <f>IFERROR(K23/SUM($K$21:$K$27),"")</f>
        <v/>
      </c>
      <c r="M23" s="13" t="n">
        <v>3</v>
      </c>
    </row>
    <row r="24">
      <c r="A24" t="inlineStr">
        <is>
          <t>Montpellier</t>
        </is>
      </c>
      <c r="B24" t="inlineStr">
        <is>
          <t>DIAPRESAN TRIPLE</t>
        </is>
      </c>
      <c r="C24" t="inlineStr">
        <is>
          <t>160/12.5/5 mg</t>
        </is>
      </c>
      <c r="D24" t="inlineStr">
        <is>
          <t>160/12.5/5 mg comp.x 30</t>
        </is>
      </c>
      <c r="E24" s="2" t="n">
        <v>57982.84</v>
      </c>
      <c r="F24" s="2" t="n">
        <v>58562.67</v>
      </c>
      <c r="G24" s="2">
        <f>IFERROR(F24/30,"")</f>
        <v/>
      </c>
      <c r="H24" s="6">
        <f>IFERROR((F24-E24)/E24,"")</f>
        <v/>
      </c>
      <c r="I24" s="6">
        <f>IFERROR((G24-G23)/G23,"")</f>
        <v/>
      </c>
      <c r="J24" s="6">
        <f>IFERROR((G24-G21)/G21,"")</f>
        <v/>
      </c>
      <c r="K24" s="3" t="n">
        <v>50545</v>
      </c>
      <c r="L24" s="6">
        <f>IFERROR(K24/SUM($K$21:$K$27),"")</f>
        <v/>
      </c>
      <c r="M24" s="8" t="n">
        <v>4</v>
      </c>
    </row>
    <row r="25">
      <c r="A25" t="inlineStr">
        <is>
          <t>Casasco</t>
        </is>
      </c>
      <c r="B25" t="inlineStr">
        <is>
          <t>DILCORAN PLUS D</t>
        </is>
      </c>
      <c r="C25" t="inlineStr">
        <is>
          <t>160/12.5/5 mg</t>
        </is>
      </c>
      <c r="D25" t="inlineStr">
        <is>
          <t>160/12.5/5 mg comp.x 30</t>
        </is>
      </c>
      <c r="E25" s="2" t="n">
        <v>57062.25</v>
      </c>
      <c r="F25" s="2" t="n">
        <v>57461.68</v>
      </c>
      <c r="G25" s="2">
        <f>IFERROR(F25/30,"")</f>
        <v/>
      </c>
      <c r="H25" s="6">
        <f>IFERROR((F25-E25)/E25,"")</f>
        <v/>
      </c>
      <c r="I25" s="6">
        <f>IFERROR((G25-G23)/G23,"")</f>
        <v/>
      </c>
      <c r="J25" s="6">
        <f>IFERROR((G25-G21)/G21,"")</f>
        <v/>
      </c>
      <c r="K25" s="3" t="n">
        <v>15771</v>
      </c>
      <c r="L25" s="6">
        <f>IFERROR(K25/SUM($K$21:$K$27),"")</f>
        <v/>
      </c>
      <c r="M25" s="8" t="n">
        <v>5</v>
      </c>
    </row>
    <row r="26">
      <c r="A26" t="inlineStr">
        <is>
          <t>Baliarda</t>
        </is>
      </c>
      <c r="B26" t="inlineStr">
        <is>
          <t>DISARVAL D</t>
        </is>
      </c>
      <c r="C26" t="inlineStr">
        <is>
          <t>160/12.5/5 mg</t>
        </is>
      </c>
      <c r="D26" t="inlineStr">
        <is>
          <t>160/12.5/5 mg comp.x 60</t>
        </is>
      </c>
      <c r="E26" s="2" t="n">
        <v>111482.3</v>
      </c>
      <c r="F26" s="2" t="n">
        <v>112039.71</v>
      </c>
      <c r="G26" s="2">
        <f>IFERROR(F26/60,"")</f>
        <v/>
      </c>
      <c r="H26" s="6">
        <f>IFERROR((F26-E26)/E26,"")</f>
        <v/>
      </c>
      <c r="I26" s="6">
        <f>IFERROR((G26-G23)/G23,"")</f>
        <v/>
      </c>
      <c r="J26" s="6">
        <f>IFERROR((G26-G21)/G21,"")</f>
        <v/>
      </c>
      <c r="K26" s="3" t="n">
        <v>5458</v>
      </c>
      <c r="L26" s="6">
        <f>IFERROR(K26/SUM($K$21:$K$27),"")</f>
        <v/>
      </c>
      <c r="M26" s="8" t="n">
        <v>6</v>
      </c>
    </row>
    <row r="27">
      <c r="A27" t="inlineStr">
        <is>
          <t>Lazar</t>
        </is>
      </c>
      <c r="B27" t="inlineStr">
        <is>
          <t>SIMULTAN TRIPLE</t>
        </is>
      </c>
      <c r="C27" t="inlineStr">
        <is>
          <t>160/12.5/5 mg</t>
        </is>
      </c>
      <c r="D27" t="inlineStr">
        <is>
          <t>160/12.5/5 comp.rec.x30</t>
        </is>
      </c>
      <c r="E27" s="2" t="n">
        <v>60392.76</v>
      </c>
      <c r="F27" s="2" t="n">
        <v>63382.8</v>
      </c>
      <c r="G27" s="2">
        <f>IFERROR(F27/30,"")</f>
        <v/>
      </c>
      <c r="H27" s="6">
        <f>IFERROR((F27-E27)/E27,"")</f>
        <v/>
      </c>
      <c r="I27" s="6">
        <f>IFERROR((G27-G23)/G23,"")</f>
        <v/>
      </c>
      <c r="J27" s="6">
        <f>IFERROR((G27-G21)/G21,"")</f>
        <v/>
      </c>
      <c r="K27" s="3" t="n"/>
      <c r="L27" s="6">
        <f>IFERROR(K27/SUM($K$21:$K$27),"")</f>
        <v/>
      </c>
      <c r="M27" s="8" t="n">
        <v>7</v>
      </c>
    </row>
    <row r="29" ht="20" customHeight="1">
      <c r="A29" s="5" t="inlineStr">
        <is>
          <t>Dosis: 160/25/5 mg — valsartan+hidrocloroti.+amlodip.</t>
        </is>
      </c>
    </row>
    <row r="30">
      <c r="A30" s="9" t="inlineStr">
        <is>
          <t>Siegfried ★ SIE</t>
        </is>
      </c>
      <c r="B30" s="9" t="inlineStr">
        <is>
          <t>EXFORGE D</t>
        </is>
      </c>
      <c r="C30" s="9" t="inlineStr">
        <is>
          <t>160/25/5 mg</t>
        </is>
      </c>
      <c r="D30" s="9" t="inlineStr">
        <is>
          <t>160/25/5 mg comp.x 28</t>
        </is>
      </c>
      <c r="E30" s="10" t="n">
        <v>61975.57</v>
      </c>
      <c r="F30" s="10" t="n">
        <v>61975.57</v>
      </c>
      <c r="G30" s="10">
        <f>IFERROR(F30/28,"")</f>
        <v/>
      </c>
      <c r="H30" s="11" t="n"/>
      <c r="I30" s="11" t="n"/>
      <c r="J30" s="7" t="inlineStr">
        <is>
          <t>Líder</t>
        </is>
      </c>
      <c r="K30" s="12" t="n">
        <v>6743</v>
      </c>
      <c r="L30" s="11">
        <f>IFERROR(K30/SUM($K$30:$K$31),"")</f>
        <v/>
      </c>
      <c r="M30" s="13" t="n">
        <v>1</v>
      </c>
    </row>
    <row r="31">
      <c r="A31" t="inlineStr">
        <is>
          <t>Baliarda</t>
        </is>
      </c>
      <c r="B31" t="inlineStr">
        <is>
          <t>DISARVAL D</t>
        </is>
      </c>
      <c r="C31" t="inlineStr">
        <is>
          <t>160/25/5 mg</t>
        </is>
      </c>
      <c r="D31" t="inlineStr">
        <is>
          <t>160/25/5 mg comp.rec.x30</t>
        </is>
      </c>
      <c r="E31" s="2" t="n">
        <v>60920.78</v>
      </c>
      <c r="F31" s="2" t="n">
        <v>60920.78</v>
      </c>
      <c r="G31" s="2">
        <f>IFERROR(F31/30,"")</f>
        <v/>
      </c>
      <c r="H31" s="6">
        <f>IFERROR((F31-E31)/E31,"")</f>
        <v/>
      </c>
      <c r="I31" s="6">
        <f>IFERROR((G31-G30)/G30,"")</f>
        <v/>
      </c>
      <c r="J31" s="6">
        <f>IFERROR((G31-G30)/G30,"")</f>
        <v/>
      </c>
      <c r="K31" s="3" t="n">
        <v>1153</v>
      </c>
      <c r="L31" s="6">
        <f>IFERROR(K31/SUM($K$30:$K$31),"")</f>
        <v/>
      </c>
      <c r="M31" s="8" t="n">
        <v>2</v>
      </c>
    </row>
    <row r="33" ht="20" customHeight="1">
      <c r="A33" s="5" t="inlineStr">
        <is>
          <t>Dosis: 160/12.5/10 mg — valsartan+hidrocloroti.+amlodip.</t>
        </is>
      </c>
    </row>
    <row r="34">
      <c r="A34" t="inlineStr">
        <is>
          <t>Adium</t>
        </is>
      </c>
      <c r="B34" t="inlineStr">
        <is>
          <t>NOSTER D</t>
        </is>
      </c>
      <c r="C34" t="inlineStr">
        <is>
          <t>160/12.5/10 mg</t>
        </is>
      </c>
      <c r="D34" t="inlineStr">
        <is>
          <t>160/12.5/10 mg comp.x 28</t>
        </is>
      </c>
      <c r="E34" s="2" t="n">
        <v>62183.25</v>
      </c>
      <c r="F34" s="2" t="n">
        <v>65682.27</v>
      </c>
      <c r="G34" s="2">
        <f>IFERROR(F34/28,"")</f>
        <v/>
      </c>
      <c r="H34" s="6">
        <f>IFERROR((F34-E34)/E34,"")</f>
        <v/>
      </c>
      <c r="I34" s="6">
        <f>IFERROR((G34-G37)/G37,"")</f>
        <v/>
      </c>
      <c r="J34" s="7" t="inlineStr">
        <is>
          <t>Líder</t>
        </is>
      </c>
      <c r="K34" s="3" t="n">
        <v>141023</v>
      </c>
      <c r="L34" s="6">
        <f>IFERROR(K34/SUM($K$34:$K$40),"")</f>
        <v/>
      </c>
      <c r="M34" s="8" t="n">
        <v>1</v>
      </c>
    </row>
    <row r="35">
      <c r="A35" t="inlineStr">
        <is>
          <t>Baliarda</t>
        </is>
      </c>
      <c r="B35" t="inlineStr">
        <is>
          <t>DISARVAL D</t>
        </is>
      </c>
      <c r="C35" t="inlineStr">
        <is>
          <t>160/12.5/10 mg</t>
        </is>
      </c>
      <c r="D35" t="inlineStr">
        <is>
          <t>160/12.5/10 mg comp.x 30</t>
        </is>
      </c>
      <c r="E35" s="2" t="n">
        <v>61835.72</v>
      </c>
      <c r="F35" s="2" t="n">
        <v>62454.08</v>
      </c>
      <c r="G35" s="2">
        <f>IFERROR(F35/30,"")</f>
        <v/>
      </c>
      <c r="H35" s="6">
        <f>IFERROR((F35-E35)/E35,"")</f>
        <v/>
      </c>
      <c r="I35" s="6">
        <f>IFERROR((G35-G37)/G37,"")</f>
        <v/>
      </c>
      <c r="J35" s="6">
        <f>IFERROR((G35-G34)/G34,"")</f>
        <v/>
      </c>
      <c r="K35" s="3" t="n">
        <v>81369</v>
      </c>
      <c r="L35" s="6">
        <f>IFERROR(K35/SUM($K$34:$K$40),"")</f>
        <v/>
      </c>
      <c r="M35" s="8" t="n">
        <v>2</v>
      </c>
    </row>
    <row r="36">
      <c r="A36" t="inlineStr">
        <is>
          <t>Montpellier</t>
        </is>
      </c>
      <c r="B36" t="inlineStr">
        <is>
          <t>DIAPRESAN TRIPLE</t>
        </is>
      </c>
      <c r="C36" t="inlineStr">
        <is>
          <t>160/12.5/10 mg</t>
        </is>
      </c>
      <c r="D36" t="inlineStr">
        <is>
          <t>160/12.5/10 mg comp.x 30</t>
        </is>
      </c>
      <c r="E36" s="2" t="n">
        <v>58379.74</v>
      </c>
      <c r="F36" s="2" t="n">
        <v>58963.53</v>
      </c>
      <c r="G36" s="2">
        <f>IFERROR(F36/30,"")</f>
        <v/>
      </c>
      <c r="H36" s="6">
        <f>IFERROR((F36-E36)/E36,"")</f>
        <v/>
      </c>
      <c r="I36" s="6">
        <f>IFERROR((G36-G37)/G37,"")</f>
        <v/>
      </c>
      <c r="J36" s="6">
        <f>IFERROR((G36-G34)/G34,"")</f>
        <v/>
      </c>
      <c r="K36" s="3" t="n">
        <v>29997</v>
      </c>
      <c r="L36" s="6">
        <f>IFERROR(K36/SUM($K$34:$K$40),"")</f>
        <v/>
      </c>
      <c r="M36" s="8" t="n">
        <v>3</v>
      </c>
    </row>
    <row r="37">
      <c r="A37" s="9" t="inlineStr">
        <is>
          <t>Siegfried ★ SIE</t>
        </is>
      </c>
      <c r="B37" s="9" t="inlineStr">
        <is>
          <t>EXFORGE D</t>
        </is>
      </c>
      <c r="C37" s="9" t="inlineStr">
        <is>
          <t>160/12.5/10 mg</t>
        </is>
      </c>
      <c r="D37" s="9" t="inlineStr">
        <is>
          <t>160/12.5/10 mg comp.x 28</t>
        </is>
      </c>
      <c r="E37" s="10" t="n">
        <v>61385.94</v>
      </c>
      <c r="F37" s="10" t="n">
        <v>61385.94</v>
      </c>
      <c r="G37" s="10">
        <f>IFERROR(F37/28,"")</f>
        <v/>
      </c>
      <c r="H37" s="11" t="n"/>
      <c r="I37" s="11" t="n"/>
      <c r="J37" s="11">
        <f>IFERROR((G37-G34)/G34,"")</f>
        <v/>
      </c>
      <c r="K37" s="12" t="n">
        <v>14280</v>
      </c>
      <c r="L37" s="11">
        <f>IFERROR(K37/SUM($K$34:$K$40),"")</f>
        <v/>
      </c>
      <c r="M37" s="13" t="n">
        <v>4</v>
      </c>
    </row>
    <row r="38">
      <c r="A38" t="inlineStr">
        <is>
          <t>Casasco</t>
        </is>
      </c>
      <c r="B38" t="inlineStr">
        <is>
          <t>DILCORAN PLUS D</t>
        </is>
      </c>
      <c r="C38" t="inlineStr">
        <is>
          <t>160/12.5/10 mg</t>
        </is>
      </c>
      <c r="D38" t="inlineStr">
        <is>
          <t>160/12.5/10 mg comp.x 30</t>
        </is>
      </c>
      <c r="E38" s="2" t="n">
        <v>61939.29</v>
      </c>
      <c r="F38" s="2" t="n">
        <v>63487.78</v>
      </c>
      <c r="G38" s="2">
        <f>IFERROR(F38/30,"")</f>
        <v/>
      </c>
      <c r="H38" s="6">
        <f>IFERROR((F38-E38)/E38,"")</f>
        <v/>
      </c>
      <c r="I38" s="6">
        <f>IFERROR((G38-G37)/G37,"")</f>
        <v/>
      </c>
      <c r="J38" s="6">
        <f>IFERROR((G38-G34)/G34,"")</f>
        <v/>
      </c>
      <c r="K38" s="3" t="n">
        <v>12739</v>
      </c>
      <c r="L38" s="6">
        <f>IFERROR(K38/SUM($K$34:$K$40),"")</f>
        <v/>
      </c>
      <c r="M38" s="8" t="n">
        <v>5</v>
      </c>
    </row>
    <row r="39">
      <c r="A39" t="inlineStr">
        <is>
          <t>Baliarda</t>
        </is>
      </c>
      <c r="B39" t="inlineStr">
        <is>
          <t>DISARVAL D</t>
        </is>
      </c>
      <c r="C39" t="inlineStr">
        <is>
          <t>160/12.5/10 mg</t>
        </is>
      </c>
      <c r="D39" t="inlineStr">
        <is>
          <t>160/12.5/10 mg comp.x 60</t>
        </is>
      </c>
      <c r="E39" s="2" t="n">
        <v>111812.88</v>
      </c>
      <c r="F39" s="2" t="n">
        <v>111812.88</v>
      </c>
      <c r="G39" s="2">
        <f>IFERROR(F39/60,"")</f>
        <v/>
      </c>
      <c r="H39" s="6">
        <f>IFERROR((F39-E39)/E39,"")</f>
        <v/>
      </c>
      <c r="I39" s="6">
        <f>IFERROR((G39-G37)/G37,"")</f>
        <v/>
      </c>
      <c r="J39" s="6">
        <f>IFERROR((G39-G34)/G34,"")</f>
        <v/>
      </c>
      <c r="K39" s="3" t="n">
        <v>2691</v>
      </c>
      <c r="L39" s="6">
        <f>IFERROR(K39/SUM($K$34:$K$40),"")</f>
        <v/>
      </c>
      <c r="M39" s="8" t="n">
        <v>6</v>
      </c>
    </row>
    <row r="40">
      <c r="A40" t="inlineStr">
        <is>
          <t>Lazar</t>
        </is>
      </c>
      <c r="B40" t="inlineStr">
        <is>
          <t>SIMULTAN TRIPLE</t>
        </is>
      </c>
      <c r="C40" t="inlineStr">
        <is>
          <t>160/12.5/10 mg</t>
        </is>
      </c>
      <c r="D40" t="inlineStr">
        <is>
          <t>160/12.5/10 comp.rec.x30</t>
        </is>
      </c>
      <c r="E40" s="2" t="n">
        <v>62468.09</v>
      </c>
      <c r="F40" s="2" t="n">
        <v>65560.88</v>
      </c>
      <c r="G40" s="2">
        <f>IFERROR(F40/30,"")</f>
        <v/>
      </c>
      <c r="H40" s="6">
        <f>IFERROR((F40-E40)/E40,"")</f>
        <v/>
      </c>
      <c r="I40" s="6">
        <f>IFERROR((G40-G37)/G37,"")</f>
        <v/>
      </c>
      <c r="J40" s="6">
        <f>IFERROR((G40-G34)/G34,"")</f>
        <v/>
      </c>
      <c r="K40" s="3" t="n"/>
      <c r="L40" s="6">
        <f>IFERROR(K40/SUM($K$34:$K$40),"")</f>
        <v/>
      </c>
      <c r="M40" s="8" t="n">
        <v>7</v>
      </c>
    </row>
    <row r="42" ht="20" customHeight="1">
      <c r="A42" s="5" t="inlineStr">
        <is>
          <t>Dosis: 160/25/10 mg — valsartan+hidrocloroti.+amlodip.</t>
        </is>
      </c>
    </row>
    <row r="43">
      <c r="A43" s="9" t="inlineStr">
        <is>
          <t>Siegfried ★ SIE</t>
        </is>
      </c>
      <c r="B43" s="9" t="inlineStr">
        <is>
          <t>EXFORGE D</t>
        </is>
      </c>
      <c r="C43" s="9" t="inlineStr">
        <is>
          <t>160/25/10 mg</t>
        </is>
      </c>
      <c r="D43" s="9" t="inlineStr">
        <is>
          <t>160/25/10 mg comp.x 28</t>
        </is>
      </c>
      <c r="E43" s="10" t="n">
        <v>61975.57</v>
      </c>
      <c r="F43" s="10" t="n">
        <v>61975.57</v>
      </c>
      <c r="G43" s="10">
        <f>IFERROR(F43/28,"")</f>
        <v/>
      </c>
      <c r="H43" s="11" t="n"/>
      <c r="I43" s="11" t="n"/>
      <c r="J43" s="7" t="inlineStr">
        <is>
          <t>Líder</t>
        </is>
      </c>
      <c r="K43" s="12" t="n">
        <v>3900</v>
      </c>
      <c r="L43" s="11">
        <f>IFERROR(K43/SUM($K$43:$K$44),"")</f>
        <v/>
      </c>
      <c r="M43" s="13" t="n">
        <v>1</v>
      </c>
    </row>
    <row r="44">
      <c r="A44" t="inlineStr">
        <is>
          <t>Baliarda</t>
        </is>
      </c>
      <c r="B44" t="inlineStr">
        <is>
          <t>DISARVAL D</t>
        </is>
      </c>
      <c r="C44" t="inlineStr">
        <is>
          <t>160/25/10 mg</t>
        </is>
      </c>
      <c r="D44" t="inlineStr">
        <is>
          <t>160/25/10mg comp.rec.x30</t>
        </is>
      </c>
      <c r="E44" s="2" t="n">
        <v>61342.95</v>
      </c>
      <c r="F44" s="2" t="n">
        <v>61342.95</v>
      </c>
      <c r="G44" s="2">
        <f>IFERROR(F44/30,"")</f>
        <v/>
      </c>
      <c r="H44" s="6">
        <f>IFERROR((F44-E44)/E44,"")</f>
        <v/>
      </c>
      <c r="I44" s="6">
        <f>IFERROR((G44-G43)/G43,"")</f>
        <v/>
      </c>
      <c r="J44" s="6">
        <f>IFERROR((G44-G43)/G43,"")</f>
        <v/>
      </c>
      <c r="K44" s="3" t="n">
        <v>989</v>
      </c>
      <c r="L44" s="6">
        <f>IFERROR(K44/SUM($K$43:$K$44),"")</f>
        <v/>
      </c>
      <c r="M44" s="8" t="n">
        <v>2</v>
      </c>
    </row>
    <row r="46" ht="20" customHeight="1">
      <c r="A46" s="5" t="inlineStr">
        <is>
          <t>Dosis: 320/25/10 mg — valsartan+hidrocloroti.+amlodip.</t>
        </is>
      </c>
    </row>
    <row r="47">
      <c r="A47" t="inlineStr">
        <is>
          <t>Adium</t>
        </is>
      </c>
      <c r="B47" t="inlineStr">
        <is>
          <t>NOSTER D</t>
        </is>
      </c>
      <c r="C47" t="inlineStr">
        <is>
          <t>320/25/10 mg</t>
        </is>
      </c>
      <c r="D47" t="inlineStr">
        <is>
          <t>320/25/10 mg comp.x 28</t>
        </is>
      </c>
      <c r="E47" s="2" t="n">
        <v>69302.85000000001</v>
      </c>
      <c r="F47" s="2" t="n">
        <v>73202.49000000001</v>
      </c>
      <c r="G47" s="2">
        <f>IFERROR(F47/28,"")</f>
        <v/>
      </c>
      <c r="H47" s="6">
        <f>IFERROR((F47-E47)/E47,"")</f>
        <v/>
      </c>
      <c r="I47" s="6">
        <f>IFERROR((G47-G49)/G49,"")</f>
        <v/>
      </c>
      <c r="J47" s="7" t="inlineStr">
        <is>
          <t>Líder</t>
        </is>
      </c>
      <c r="K47" s="3" t="n">
        <v>76386</v>
      </c>
      <c r="L47" s="6">
        <f>IFERROR(K47/SUM($K$47:$K$53),"")</f>
        <v/>
      </c>
      <c r="M47" s="8" t="n">
        <v>1</v>
      </c>
    </row>
    <row r="48">
      <c r="A48" t="inlineStr">
        <is>
          <t>Baliarda</t>
        </is>
      </c>
      <c r="B48" t="inlineStr">
        <is>
          <t>DISARVAL D</t>
        </is>
      </c>
      <c r="C48" t="inlineStr">
        <is>
          <t>320/25/10 mg</t>
        </is>
      </c>
      <c r="D48" t="inlineStr">
        <is>
          <t>320/25/10 mg comp.x 30</t>
        </is>
      </c>
      <c r="E48" s="2" t="n">
        <v>65272.58</v>
      </c>
      <c r="F48" s="2" t="n">
        <v>65925.31</v>
      </c>
      <c r="G48" s="2">
        <f>IFERROR(F48/30,"")</f>
        <v/>
      </c>
      <c r="H48" s="6">
        <f>IFERROR((F48-E48)/E48,"")</f>
        <v/>
      </c>
      <c r="I48" s="6">
        <f>IFERROR((G48-G49)/G49,"")</f>
        <v/>
      </c>
      <c r="J48" s="6">
        <f>IFERROR((G48-G47)/G47,"")</f>
        <v/>
      </c>
      <c r="K48" s="3" t="n">
        <v>37487</v>
      </c>
      <c r="L48" s="6">
        <f>IFERROR(K48/SUM($K$47:$K$53),"")</f>
        <v/>
      </c>
      <c r="M48" s="8" t="n">
        <v>2</v>
      </c>
    </row>
    <row r="49">
      <c r="A49" s="9" t="inlineStr">
        <is>
          <t>Siegfried ★ SIE</t>
        </is>
      </c>
      <c r="B49" s="9" t="inlineStr">
        <is>
          <t>EXFORGE D</t>
        </is>
      </c>
      <c r="C49" s="9" t="inlineStr">
        <is>
          <t>320/25/10 mg</t>
        </is>
      </c>
      <c r="D49" s="9" t="inlineStr">
        <is>
          <t>320/25/10 mg comp.x 28</t>
        </is>
      </c>
      <c r="E49" s="10" t="n">
        <v>65542.64</v>
      </c>
      <c r="F49" s="10" t="n">
        <v>65542.64</v>
      </c>
      <c r="G49" s="10">
        <f>IFERROR(F49/28,"")</f>
        <v/>
      </c>
      <c r="H49" s="11" t="n"/>
      <c r="I49" s="11" t="n"/>
      <c r="J49" s="11">
        <f>IFERROR((G49-G47)/G47,"")</f>
        <v/>
      </c>
      <c r="K49" s="12" t="n">
        <v>21295</v>
      </c>
      <c r="L49" s="11">
        <f>IFERROR(K49/SUM($K$47:$K$53),"")</f>
        <v/>
      </c>
      <c r="M49" s="13" t="n">
        <v>3</v>
      </c>
    </row>
    <row r="50">
      <c r="A50" t="inlineStr">
        <is>
          <t>Lazar</t>
        </is>
      </c>
      <c r="B50" t="inlineStr">
        <is>
          <t>SIMULTAN TRIPLE</t>
        </is>
      </c>
      <c r="C50" t="inlineStr">
        <is>
          <t>320/25/10 mg</t>
        </is>
      </c>
      <c r="D50" t="inlineStr">
        <is>
          <t>320/25/10 comp.rec.x 30</t>
        </is>
      </c>
      <c r="E50" s="2" t="n">
        <v>63920.84</v>
      </c>
      <c r="F50" s="2" t="n">
        <v>67799.25</v>
      </c>
      <c r="G50" s="2">
        <f>IFERROR(F50/30,"")</f>
        <v/>
      </c>
      <c r="H50" s="6">
        <f>IFERROR((F50-E50)/E50,"")</f>
        <v/>
      </c>
      <c r="I50" s="6">
        <f>IFERROR((G50-G49)/G49,"")</f>
        <v/>
      </c>
      <c r="J50" s="6">
        <f>IFERROR((G50-G47)/G47,"")</f>
        <v/>
      </c>
      <c r="K50" s="3" t="n">
        <v>19324</v>
      </c>
      <c r="L50" s="6">
        <f>IFERROR(K50/SUM($K$47:$K$53),"")</f>
        <v/>
      </c>
      <c r="M50" s="8" t="n">
        <v>4</v>
      </c>
    </row>
    <row r="51">
      <c r="A51" t="inlineStr">
        <is>
          <t>Montpellier</t>
        </is>
      </c>
      <c r="B51" t="inlineStr">
        <is>
          <t>DIAPRESAN TRIPLE</t>
        </is>
      </c>
      <c r="C51" t="inlineStr">
        <is>
          <t>320/25/10 mg</t>
        </is>
      </c>
      <c r="D51" t="inlineStr">
        <is>
          <t>320/25/10 mg comp.x 30</t>
        </is>
      </c>
      <c r="E51" s="2" t="n">
        <v>62459.88</v>
      </c>
      <c r="F51" s="2" t="n">
        <v>63084.49</v>
      </c>
      <c r="G51" s="2">
        <f>IFERROR(F51/30,"")</f>
        <v/>
      </c>
      <c r="H51" s="6">
        <f>IFERROR((F51-E51)/E51,"")</f>
        <v/>
      </c>
      <c r="I51" s="6">
        <f>IFERROR((G51-G49)/G49,"")</f>
        <v/>
      </c>
      <c r="J51" s="6">
        <f>IFERROR((G51-G47)/G47,"")</f>
        <v/>
      </c>
      <c r="K51" s="3" t="n">
        <v>19142</v>
      </c>
      <c r="L51" s="6">
        <f>IFERROR(K51/SUM($K$47:$K$53),"")</f>
        <v/>
      </c>
      <c r="M51" s="8" t="n">
        <v>5</v>
      </c>
    </row>
    <row r="52">
      <c r="A52" t="inlineStr">
        <is>
          <t>Casasco</t>
        </is>
      </c>
      <c r="B52" t="inlineStr">
        <is>
          <t>DILCORAN PLUS D</t>
        </is>
      </c>
      <c r="C52" t="inlineStr">
        <is>
          <t>320/25/10 mg</t>
        </is>
      </c>
      <c r="D52" t="inlineStr">
        <is>
          <t>320/25/10 mg comp.x 30</t>
        </is>
      </c>
      <c r="E52" s="2" t="n">
        <v>62601.74</v>
      </c>
      <c r="F52" s="2" t="n">
        <v>63540.76</v>
      </c>
      <c r="G52" s="2">
        <f>IFERROR(F52/30,"")</f>
        <v/>
      </c>
      <c r="H52" s="6">
        <f>IFERROR((F52-E52)/E52,"")</f>
        <v/>
      </c>
      <c r="I52" s="6">
        <f>IFERROR((G52-G49)/G49,"")</f>
        <v/>
      </c>
      <c r="J52" s="6">
        <f>IFERROR((G52-G47)/G47,"")</f>
        <v/>
      </c>
      <c r="K52" s="3" t="n">
        <v>5317</v>
      </c>
      <c r="L52" s="6">
        <f>IFERROR(K52/SUM($K$47:$K$53),"")</f>
        <v/>
      </c>
      <c r="M52" s="8" t="n">
        <v>6</v>
      </c>
    </row>
    <row r="53">
      <c r="A53" t="inlineStr">
        <is>
          <t>Baliarda</t>
        </is>
      </c>
      <c r="B53" t="inlineStr">
        <is>
          <t>DISARVAL D</t>
        </is>
      </c>
      <c r="C53" t="inlineStr">
        <is>
          <t>320/25/10 mg</t>
        </is>
      </c>
      <c r="D53" t="inlineStr">
        <is>
          <t>320/25/10 mg comp.x 60</t>
        </is>
      </c>
      <c r="E53" s="2" t="n">
        <v>116347.23</v>
      </c>
      <c r="F53" s="2" t="n">
        <v>116347.23</v>
      </c>
      <c r="G53" s="2">
        <f>IFERROR(F53/60,"")</f>
        <v/>
      </c>
      <c r="H53" s="6">
        <f>IFERROR((F53-E53)/E53,"")</f>
        <v/>
      </c>
      <c r="I53" s="6">
        <f>IFERROR((G53-G49)/G49,"")</f>
        <v/>
      </c>
      <c r="J53" s="6">
        <f>IFERROR((G53-G47)/G47,"")</f>
        <v/>
      </c>
      <c r="K53" s="3" t="n">
        <v>3929</v>
      </c>
      <c r="L53" s="6">
        <f>IFERROR(K53/SUM($K$47:$K$53),"")</f>
        <v/>
      </c>
      <c r="M53" s="8" t="n">
        <v>7</v>
      </c>
    </row>
  </sheetData>
  <mergeCells count="10">
    <mergeCell ref="A46:M46"/>
    <mergeCell ref="A13:M13"/>
    <mergeCell ref="A33:M33"/>
    <mergeCell ref="A6:M6"/>
    <mergeCell ref="A17:M17"/>
    <mergeCell ref="A29:M29"/>
    <mergeCell ref="A20:M20"/>
    <mergeCell ref="A2:M2"/>
    <mergeCell ref="A10:M10"/>
    <mergeCell ref="A42:M4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" customWidth="1" min="1" max="1"/>
    <col width="20.83" customWidth="1" min="2" max="2"/>
    <col width="12" customWidth="1" min="3" max="3"/>
    <col width="28.83" customWidth="1" min="4" max="4"/>
    <col width="14.83" customWidth="1" min="5" max="5"/>
    <col width="14.83" customWidth="1" min="6" max="6"/>
    <col width="12.83" customWidth="1" min="7" max="7"/>
    <col width="8.83" customWidth="1" min="8" max="8"/>
    <col width="10.83" customWidth="1" min="9" max="9"/>
    <col width="10.83" customWidth="1" min="10" max="10"/>
    <col width="12.83" customWidth="1" min="11" max="11"/>
    <col width="8.83" customWidth="1" min="12" max="12"/>
    <col width="6.83" customWidth="1" min="13" max="13"/>
  </cols>
  <sheetData>
    <row r="1">
      <c r="A1" s="4" t="inlineStr">
        <is>
          <t>Laboratorio</t>
        </is>
      </c>
      <c r="B1" s="4" t="inlineStr">
        <is>
          <t>Producto</t>
        </is>
      </c>
      <c r="C1" s="4" t="inlineStr">
        <is>
          <t>Dosis</t>
        </is>
      </c>
      <c r="D1" s="4" t="inlineStr">
        <is>
          <t>Presentación</t>
        </is>
      </c>
      <c r="E1" s="4" t="inlineStr">
        <is>
          <t>PVP Feb 2026</t>
        </is>
      </c>
      <c r="F1" s="4" t="inlineStr">
        <is>
          <t>PVP Abr 2026</t>
        </is>
      </c>
      <c r="G1" s="4" t="inlineStr">
        <is>
          <t>PVP/Unidad</t>
        </is>
      </c>
      <c r="H1" s="4" t="inlineStr">
        <is>
          <t>Var %</t>
        </is>
      </c>
      <c r="I1" s="4" t="inlineStr">
        <is>
          <t>VS SIE</t>
        </is>
      </c>
      <c r="J1" s="4" t="inlineStr">
        <is>
          <t>VS Líder</t>
        </is>
      </c>
      <c r="K1" s="4" t="inlineStr">
        <is>
          <t>IQVIA MAT U.</t>
        </is>
      </c>
      <c r="L1" s="4" t="inlineStr">
        <is>
          <t>Share %</t>
        </is>
      </c>
      <c r="M1" s="4" t="inlineStr">
        <is>
          <t>Ranking</t>
        </is>
      </c>
    </row>
    <row r="2" ht="20" customHeight="1">
      <c r="A2" s="5" t="inlineStr">
        <is>
          <t>Dosis: 5 mg — nebivolol</t>
        </is>
      </c>
    </row>
    <row r="3">
      <c r="A3" t="inlineStr">
        <is>
          <t>Adium</t>
        </is>
      </c>
      <c r="B3" t="inlineStr">
        <is>
          <t>NABILA</t>
        </is>
      </c>
      <c r="C3" t="inlineStr">
        <is>
          <t>5 mg</t>
        </is>
      </c>
      <c r="D3" t="inlineStr">
        <is>
          <t>5 mg comp.x 28</t>
        </is>
      </c>
      <c r="E3" s="2" t="n">
        <v>19087.09</v>
      </c>
      <c r="F3" s="2" t="n">
        <v>19974.51</v>
      </c>
      <c r="G3" s="2">
        <f>IFERROR(F3/28,"")</f>
        <v/>
      </c>
      <c r="H3" s="6">
        <f>IFERROR((F3-E3)/E3,"")</f>
        <v/>
      </c>
      <c r="I3" s="6">
        <f>IFERROR((G3-G5)/G5,"")</f>
        <v/>
      </c>
      <c r="J3" s="7" t="inlineStr">
        <is>
          <t>Líder</t>
        </is>
      </c>
      <c r="K3" s="3" t="n">
        <v>655227</v>
      </c>
      <c r="L3" s="6">
        <f>IFERROR(K3/SUM($K$3:$K$21),"")</f>
        <v/>
      </c>
      <c r="M3" s="8" t="n">
        <v>1</v>
      </c>
    </row>
    <row r="4">
      <c r="A4" t="inlineStr">
        <is>
          <t>Roemmers</t>
        </is>
      </c>
      <c r="B4" t="inlineStr">
        <is>
          <t>CORPRES 5</t>
        </is>
      </c>
      <c r="C4" t="inlineStr">
        <is>
          <t>5 mg</t>
        </is>
      </c>
      <c r="D4" t="inlineStr">
        <is>
          <t>5 mg comp.x 30</t>
        </is>
      </c>
      <c r="E4" s="2" t="n">
        <v>19557</v>
      </c>
      <c r="F4" s="2" t="n">
        <v>20124</v>
      </c>
      <c r="G4" s="2">
        <f>IFERROR(F4/30,"")</f>
        <v/>
      </c>
      <c r="H4" s="6">
        <f>IFERROR((F4-E4)/E4,"")</f>
        <v/>
      </c>
      <c r="I4" s="6">
        <f>IFERROR((G4-G5)/G5,"")</f>
        <v/>
      </c>
      <c r="J4" s="6">
        <f>IFERROR((G4-G3)/G3,"")</f>
        <v/>
      </c>
      <c r="K4" s="3" t="n">
        <v>321908</v>
      </c>
      <c r="L4" s="6">
        <f>IFERROR(K4/SUM($K$3:$K$21),"")</f>
        <v/>
      </c>
      <c r="M4" s="8" t="n">
        <v>2</v>
      </c>
    </row>
    <row r="5">
      <c r="A5" s="9" t="inlineStr">
        <is>
          <t>Siegfried ★ SIE</t>
        </is>
      </c>
      <c r="B5" s="9" t="inlineStr">
        <is>
          <t>NEBILET</t>
        </is>
      </c>
      <c r="C5" s="9" t="inlineStr">
        <is>
          <t>5 mg</t>
        </is>
      </c>
      <c r="D5" s="9" t="inlineStr">
        <is>
          <t>5 mg comp.x 28</t>
        </is>
      </c>
      <c r="E5" s="10" t="n">
        <v>18849.2</v>
      </c>
      <c r="F5" s="10" t="n">
        <v>19358.13</v>
      </c>
      <c r="G5" s="10">
        <f>IFERROR(F5/28,"")</f>
        <v/>
      </c>
      <c r="H5" s="11" t="n"/>
      <c r="I5" s="11" t="n"/>
      <c r="J5" s="11">
        <f>IFERROR((G5-G3)/G3,"")</f>
        <v/>
      </c>
      <c r="K5" s="12" t="n">
        <v>223788</v>
      </c>
      <c r="L5" s="11">
        <f>IFERROR(K5/SUM($K$3:$K$21),"")</f>
        <v/>
      </c>
      <c r="M5" s="13" t="n">
        <v>3</v>
      </c>
    </row>
    <row r="6">
      <c r="A6" t="inlineStr">
        <is>
          <t>Gador</t>
        </is>
      </c>
      <c r="B6" t="inlineStr">
        <is>
          <t>GADOCOR</t>
        </is>
      </c>
      <c r="C6" t="inlineStr">
        <is>
          <t>5 mg</t>
        </is>
      </c>
      <c r="D6" t="inlineStr">
        <is>
          <t>5 mg comp.birran.x 30</t>
        </is>
      </c>
      <c r="E6" s="2" t="n">
        <v>18763.89</v>
      </c>
      <c r="F6" s="2" t="n">
        <v>19232.99</v>
      </c>
      <c r="G6" s="2">
        <f>IFERROR(F6/30,"")</f>
        <v/>
      </c>
      <c r="H6" s="6">
        <f>IFERROR((F6-E6)/E6,"")</f>
        <v/>
      </c>
      <c r="I6" s="6">
        <f>IFERROR((G6-G5)/G5,"")</f>
        <v/>
      </c>
      <c r="J6" s="6">
        <f>IFERROR((G6-G3)/G3,"")</f>
        <v/>
      </c>
      <c r="K6" s="3" t="n">
        <v>210756</v>
      </c>
      <c r="L6" s="6">
        <f>IFERROR(K6/SUM($K$3:$K$21),"")</f>
        <v/>
      </c>
      <c r="M6" s="8" t="n">
        <v>4</v>
      </c>
    </row>
    <row r="7">
      <c r="A7" t="inlineStr">
        <is>
          <t>Baliarda</t>
        </is>
      </c>
      <c r="B7" t="inlineStr">
        <is>
          <t>NIDIB</t>
        </is>
      </c>
      <c r="C7" t="inlineStr">
        <is>
          <t>5 mg</t>
        </is>
      </c>
      <c r="D7" t="inlineStr">
        <is>
          <t>5 mg comp.birran.x 30</t>
        </is>
      </c>
      <c r="E7" s="2" t="n">
        <v>18563.07</v>
      </c>
      <c r="F7" s="2" t="n">
        <v>18934.33</v>
      </c>
      <c r="G7" s="2">
        <f>IFERROR(F7/30,"")</f>
        <v/>
      </c>
      <c r="H7" s="6">
        <f>IFERROR((F7-E7)/E7,"")</f>
        <v/>
      </c>
      <c r="I7" s="6">
        <f>IFERROR((G7-G5)/G5,"")</f>
        <v/>
      </c>
      <c r="J7" s="6">
        <f>IFERROR((G7-G3)/G3,"")</f>
        <v/>
      </c>
      <c r="K7" s="3" t="n">
        <v>143398</v>
      </c>
      <c r="L7" s="6">
        <f>IFERROR(K7/SUM($K$3:$K$21),"")</f>
        <v/>
      </c>
      <c r="M7" s="8" t="n">
        <v>5</v>
      </c>
    </row>
    <row r="8">
      <c r="A8" t="inlineStr">
        <is>
          <t>Bagó</t>
        </is>
      </c>
      <c r="B8" t="inlineStr">
        <is>
          <t>NEBIX 5</t>
        </is>
      </c>
      <c r="C8" t="inlineStr">
        <is>
          <t>5 mg</t>
        </is>
      </c>
      <c r="D8" t="inlineStr">
        <is>
          <t>5 mg comp.x 30</t>
        </is>
      </c>
      <c r="E8" s="2" t="n">
        <v>20537.33</v>
      </c>
      <c r="F8" s="2" t="n">
        <v>21063.08</v>
      </c>
      <c r="G8" s="2">
        <f>IFERROR(F8/30,"")</f>
        <v/>
      </c>
      <c r="H8" s="6">
        <f>IFERROR((F8-E8)/E8,"")</f>
        <v/>
      </c>
      <c r="I8" s="6">
        <f>IFERROR((G8-G5)/G5,"")</f>
        <v/>
      </c>
      <c r="J8" s="6">
        <f>IFERROR((G8-G3)/G3,"")</f>
        <v/>
      </c>
      <c r="K8" s="3" t="n">
        <v>138584</v>
      </c>
      <c r="L8" s="6">
        <f>IFERROR(K8/SUM($K$3:$K$21),"")</f>
        <v/>
      </c>
      <c r="M8" s="8" t="n">
        <v>6</v>
      </c>
    </row>
    <row r="9">
      <c r="A9" t="inlineStr">
        <is>
          <t>Teva Argentina</t>
        </is>
      </c>
      <c r="B9" t="inlineStr">
        <is>
          <t>SYNCROCOR</t>
        </is>
      </c>
      <c r="C9" t="inlineStr">
        <is>
          <t>5 mg</t>
        </is>
      </c>
      <c r="D9" t="inlineStr">
        <is>
          <t>5 mg comp.x 28</t>
        </is>
      </c>
      <c r="E9" s="2" t="n">
        <v>20999.94</v>
      </c>
      <c r="F9" s="2" t="n">
        <v>22257.22</v>
      </c>
      <c r="G9" s="2">
        <f>IFERROR(F9/28,"")</f>
        <v/>
      </c>
      <c r="H9" s="6">
        <f>IFERROR((F9-E9)/E9,"")</f>
        <v/>
      </c>
      <c r="I9" s="6">
        <f>IFERROR((G9-G5)/G5,"")</f>
        <v/>
      </c>
      <c r="J9" s="6">
        <f>IFERROR((G9-G3)/G3,"")</f>
        <v/>
      </c>
      <c r="K9" s="3" t="n">
        <v>114298</v>
      </c>
      <c r="L9" s="6">
        <f>IFERROR(K9/SUM($K$3:$K$21),"")</f>
        <v/>
      </c>
      <c r="M9" s="8" t="n">
        <v>7</v>
      </c>
    </row>
    <row r="10">
      <c r="A10" t="inlineStr">
        <is>
          <t>Lazar</t>
        </is>
      </c>
      <c r="B10" t="inlineStr">
        <is>
          <t>NEBICOR</t>
        </is>
      </c>
      <c r="C10" t="inlineStr">
        <is>
          <t>5 mg</t>
        </is>
      </c>
      <c r="D10" t="inlineStr">
        <is>
          <t>5 mg comp.x 30</t>
        </is>
      </c>
      <c r="E10" s="2" t="n">
        <v>18535.96</v>
      </c>
      <c r="F10" s="2" t="n">
        <v>19722</v>
      </c>
      <c r="G10" s="2">
        <f>IFERROR(F10/30,"")</f>
        <v/>
      </c>
      <c r="H10" s="6">
        <f>IFERROR((F10-E10)/E10,"")</f>
        <v/>
      </c>
      <c r="I10" s="6">
        <f>IFERROR((G10-G5)/G5,"")</f>
        <v/>
      </c>
      <c r="J10" s="6">
        <f>IFERROR((G10-G3)/G3,"")</f>
        <v/>
      </c>
      <c r="K10" s="3" t="n">
        <v>85133</v>
      </c>
      <c r="L10" s="6">
        <f>IFERROR(K10/SUM($K$3:$K$21),"")</f>
        <v/>
      </c>
      <c r="M10" s="8" t="n">
        <v>8</v>
      </c>
    </row>
    <row r="11">
      <c r="A11" t="inlineStr">
        <is>
          <t>Casasco</t>
        </is>
      </c>
      <c r="B11" t="inlineStr">
        <is>
          <t>NIRPOL</t>
        </is>
      </c>
      <c r="C11" t="inlineStr">
        <is>
          <t>5 mg</t>
        </is>
      </c>
      <c r="D11" t="inlineStr">
        <is>
          <t>5 mg comp.x 30</t>
        </is>
      </c>
      <c r="E11" s="2" t="n">
        <v>18729.06</v>
      </c>
      <c r="F11" s="2" t="n">
        <v>19272.2</v>
      </c>
      <c r="G11" s="2">
        <f>IFERROR(F11/30,"")</f>
        <v/>
      </c>
      <c r="H11" s="6">
        <f>IFERROR((F11-E11)/E11,"")</f>
        <v/>
      </c>
      <c r="I11" s="6">
        <f>IFERROR((G11-G5)/G5,"")</f>
        <v/>
      </c>
      <c r="J11" s="6">
        <f>IFERROR((G11-G3)/G3,"")</f>
        <v/>
      </c>
      <c r="K11" s="3" t="n">
        <v>83612</v>
      </c>
      <c r="L11" s="6">
        <f>IFERROR(K11/SUM($K$3:$K$21),"")</f>
        <v/>
      </c>
      <c r="M11" s="8" t="n">
        <v>9</v>
      </c>
    </row>
    <row r="12">
      <c r="A12" t="inlineStr">
        <is>
          <t>Baliarda</t>
        </is>
      </c>
      <c r="B12" t="inlineStr">
        <is>
          <t>NIDIB</t>
        </is>
      </c>
      <c r="C12" t="inlineStr">
        <is>
          <t>5 mg</t>
        </is>
      </c>
      <c r="D12" t="inlineStr">
        <is>
          <t>5 mg comp.birran.x 28</t>
        </is>
      </c>
      <c r="E12" s="2" t="n">
        <v>18526.9</v>
      </c>
      <c r="F12" s="2" t="n">
        <v>18897.44</v>
      </c>
      <c r="G12" s="2">
        <f>IFERROR(F12/28,"")</f>
        <v/>
      </c>
      <c r="H12" s="6">
        <f>IFERROR((F12-E12)/E12,"")</f>
        <v/>
      </c>
      <c r="I12" s="6">
        <f>IFERROR((G12-G5)/G5,"")</f>
        <v/>
      </c>
      <c r="J12" s="6">
        <f>IFERROR((G12-G3)/G3,"")</f>
        <v/>
      </c>
      <c r="K12" s="3" t="n">
        <v>77090</v>
      </c>
      <c r="L12" s="6">
        <f>IFERROR(K12/SUM($K$3:$K$21),"")</f>
        <v/>
      </c>
      <c r="M12" s="8" t="n">
        <v>10</v>
      </c>
    </row>
    <row r="13">
      <c r="A13" t="inlineStr">
        <is>
          <t>Casasco</t>
        </is>
      </c>
      <c r="B13" t="inlineStr">
        <is>
          <t>NIRPOL</t>
        </is>
      </c>
      <c r="C13" t="inlineStr">
        <is>
          <t>5 mg</t>
        </is>
      </c>
      <c r="D13" t="inlineStr">
        <is>
          <t>5 mg comp.x 28</t>
        </is>
      </c>
      <c r="E13" s="2" t="n">
        <v>17934.71</v>
      </c>
      <c r="F13" s="2" t="n">
        <v>18454.81</v>
      </c>
      <c r="G13" s="2">
        <f>IFERROR(F13/28,"")</f>
        <v/>
      </c>
      <c r="H13" s="6">
        <f>IFERROR((F13-E13)/E13,"")</f>
        <v/>
      </c>
      <c r="I13" s="6">
        <f>IFERROR((G13-G5)/G5,"")</f>
        <v/>
      </c>
      <c r="J13" s="6">
        <f>IFERROR((G13-G3)/G3,"")</f>
        <v/>
      </c>
      <c r="K13" s="3" t="n">
        <v>70082</v>
      </c>
      <c r="L13" s="6">
        <f>IFERROR(K13/SUM($K$3:$K$21),"")</f>
        <v/>
      </c>
      <c r="M13" s="8" t="n">
        <v>11</v>
      </c>
    </row>
    <row r="14">
      <c r="A14" t="inlineStr">
        <is>
          <t>Montpellier</t>
        </is>
      </c>
      <c r="B14" t="inlineStr">
        <is>
          <t>MOBAN</t>
        </is>
      </c>
      <c r="C14" t="inlineStr">
        <is>
          <t>5 mg</t>
        </is>
      </c>
      <c r="D14" t="inlineStr">
        <is>
          <t>5 mg comp.x 30</t>
        </is>
      </c>
      <c r="E14" s="2" t="n">
        <v>19113.29</v>
      </c>
      <c r="F14" s="2" t="n">
        <v>19113.29</v>
      </c>
      <c r="G14" s="2">
        <f>IFERROR(F14/30,"")</f>
        <v/>
      </c>
      <c r="H14" s="6">
        <f>IFERROR((F14-E14)/E14,"")</f>
        <v/>
      </c>
      <c r="I14" s="6">
        <f>IFERROR((G14-G5)/G5,"")</f>
        <v/>
      </c>
      <c r="J14" s="6">
        <f>IFERROR((G14-G3)/G3,"")</f>
        <v/>
      </c>
      <c r="K14" s="3" t="n">
        <v>52546</v>
      </c>
      <c r="L14" s="6">
        <f>IFERROR(K14/SUM($K$3:$K$21),"")</f>
        <v/>
      </c>
      <c r="M14" s="8" t="n">
        <v>12</v>
      </c>
    </row>
    <row r="15">
      <c r="A15" t="inlineStr">
        <is>
          <t>Roemmers</t>
        </is>
      </c>
      <c r="B15" t="inlineStr">
        <is>
          <t>CORPRES 5</t>
        </is>
      </c>
      <c r="C15" t="inlineStr">
        <is>
          <t>5 mg</t>
        </is>
      </c>
      <c r="D15" t="inlineStr">
        <is>
          <t>5 mg comp.x 60</t>
        </is>
      </c>
      <c r="E15" s="2" t="n">
        <v>39796</v>
      </c>
      <c r="F15" s="2" t="n">
        <v>40950</v>
      </c>
      <c r="G15" s="2">
        <f>IFERROR(F15/60,"")</f>
        <v/>
      </c>
      <c r="H15" s="6">
        <f>IFERROR((F15-E15)/E15,"")</f>
        <v/>
      </c>
      <c r="I15" s="6">
        <f>IFERROR((G15-G5)/G5,"")</f>
        <v/>
      </c>
      <c r="J15" s="6">
        <f>IFERROR((G15-G3)/G3,"")</f>
        <v/>
      </c>
      <c r="K15" s="3" t="n">
        <v>41973</v>
      </c>
      <c r="L15" s="6">
        <f>IFERROR(K15/SUM($K$3:$K$21),"")</f>
        <v/>
      </c>
      <c r="M15" s="8" t="n">
        <v>13</v>
      </c>
    </row>
    <row r="16">
      <c r="A16" t="inlineStr">
        <is>
          <t>Teva Argentina</t>
        </is>
      </c>
      <c r="B16" t="inlineStr">
        <is>
          <t>SYNCROCOR</t>
        </is>
      </c>
      <c r="C16" t="inlineStr">
        <is>
          <t>5 mg</t>
        </is>
      </c>
      <c r="D16" t="inlineStr">
        <is>
          <t>5 mg comp.x 56</t>
        </is>
      </c>
      <c r="E16" s="2" t="n">
        <v>38370.93</v>
      </c>
      <c r="F16" s="2" t="n">
        <v>40668.2</v>
      </c>
      <c r="G16" s="2">
        <f>IFERROR(F16/56,"")</f>
        <v/>
      </c>
      <c r="H16" s="6">
        <f>IFERROR((F16-E16)/E16,"")</f>
        <v/>
      </c>
      <c r="I16" s="6">
        <f>IFERROR((G16-G5)/G5,"")</f>
        <v/>
      </c>
      <c r="J16" s="6">
        <f>IFERROR((G16-G3)/G3,"")</f>
        <v/>
      </c>
      <c r="K16" s="3" t="n">
        <v>26746</v>
      </c>
      <c r="L16" s="6">
        <f>IFERROR(K16/SUM($K$3:$K$21),"")</f>
        <v/>
      </c>
      <c r="M16" s="8" t="n">
        <v>14</v>
      </c>
    </row>
    <row r="17">
      <c r="A17" t="inlineStr">
        <is>
          <t>Casasco</t>
        </is>
      </c>
      <c r="B17" t="inlineStr">
        <is>
          <t>NIRPOL</t>
        </is>
      </c>
      <c r="C17" t="inlineStr">
        <is>
          <t>5 mg</t>
        </is>
      </c>
      <c r="D17" t="inlineStr">
        <is>
          <t>5 mg comp.x 56</t>
        </is>
      </c>
      <c r="E17" s="2" t="n">
        <v>37149.71</v>
      </c>
      <c r="F17" s="2" t="n">
        <v>38227.05</v>
      </c>
      <c r="G17" s="2">
        <f>IFERROR(F17/56,"")</f>
        <v/>
      </c>
      <c r="H17" s="6">
        <f>IFERROR((F17-E17)/E17,"")</f>
        <v/>
      </c>
      <c r="I17" s="6">
        <f>IFERROR((G17-G5)/G5,"")</f>
        <v/>
      </c>
      <c r="J17" s="6">
        <f>IFERROR((G17-G3)/G3,"")</f>
        <v/>
      </c>
      <c r="K17" s="3" t="n">
        <v>20347</v>
      </c>
      <c r="L17" s="6">
        <f>IFERROR(K17/SUM($K$3:$K$21),"")</f>
        <v/>
      </c>
      <c r="M17" s="8" t="n">
        <v>15</v>
      </c>
    </row>
    <row r="18">
      <c r="A18" t="inlineStr">
        <is>
          <t>Lazar</t>
        </is>
      </c>
      <c r="B18" t="inlineStr">
        <is>
          <t>NEBICOR</t>
        </is>
      </c>
      <c r="C18" t="inlineStr">
        <is>
          <t>5 mg</t>
        </is>
      </c>
      <c r="D18" t="inlineStr">
        <is>
          <t>5 mg comp.x 28</t>
        </is>
      </c>
      <c r="E18" s="2" t="n">
        <v>18408.89</v>
      </c>
      <c r="F18" s="2" t="n">
        <v>19586.82</v>
      </c>
      <c r="G18" s="2">
        <f>IFERROR(F18/28,"")</f>
        <v/>
      </c>
      <c r="H18" s="6">
        <f>IFERROR((F18-E18)/E18,"")</f>
        <v/>
      </c>
      <c r="I18" s="6">
        <f>IFERROR((G18-G5)/G5,"")</f>
        <v/>
      </c>
      <c r="J18" s="6">
        <f>IFERROR((G18-G3)/G3,"")</f>
        <v/>
      </c>
      <c r="K18" s="3" t="n">
        <v>10686</v>
      </c>
      <c r="L18" s="6">
        <f>IFERROR(K18/SUM($K$3:$K$21),"")</f>
        <v/>
      </c>
      <c r="M18" s="8" t="n">
        <v>16</v>
      </c>
    </row>
    <row r="19">
      <c r="A19" t="inlineStr">
        <is>
          <t>Eczane</t>
        </is>
      </c>
      <c r="B19" t="inlineStr">
        <is>
          <t>NEOBLOCK 5</t>
        </is>
      </c>
      <c r="C19" t="inlineStr">
        <is>
          <t>5 mg</t>
        </is>
      </c>
      <c r="D19" t="inlineStr">
        <is>
          <t>5 mg comp.x 28</t>
        </is>
      </c>
      <c r="E19" s="2" t="n">
        <v>15420.98</v>
      </c>
      <c r="F19" s="2" t="n">
        <v>16328.37</v>
      </c>
      <c r="G19" s="2">
        <f>IFERROR(F19/28,"")</f>
        <v/>
      </c>
      <c r="H19" s="6">
        <f>IFERROR((F19-E19)/E19,"")</f>
        <v/>
      </c>
      <c r="I19" s="6">
        <f>IFERROR((G19-G5)/G5,"")</f>
        <v/>
      </c>
      <c r="J19" s="6">
        <f>IFERROR((G19-G3)/G3,"")</f>
        <v/>
      </c>
      <c r="K19" s="3" t="n">
        <v>8315</v>
      </c>
      <c r="L19" s="6">
        <f>IFERROR(K19/SUM($K$3:$K$21),"")</f>
        <v/>
      </c>
      <c r="M19" s="8" t="n">
        <v>17</v>
      </c>
    </row>
    <row r="20">
      <c r="A20" t="inlineStr">
        <is>
          <t>Lepetit</t>
        </is>
      </c>
      <c r="B20" t="inlineStr">
        <is>
          <t>NEBIBLOC</t>
        </is>
      </c>
      <c r="C20" t="inlineStr">
        <is>
          <t>5 mg</t>
        </is>
      </c>
      <c r="D20" t="inlineStr">
        <is>
          <t>5 mg comp.x 30</t>
        </is>
      </c>
      <c r="E20" s="2" t="n">
        <v>17520</v>
      </c>
      <c r="F20" s="2" t="n">
        <v>18940</v>
      </c>
      <c r="G20" s="2">
        <f>IFERROR(F20/30,"")</f>
        <v/>
      </c>
      <c r="H20" s="6">
        <f>IFERROR((F20-E20)/E20,"")</f>
        <v/>
      </c>
      <c r="I20" s="6">
        <f>IFERROR((G20-G5)/G5,"")</f>
        <v/>
      </c>
      <c r="J20" s="6">
        <f>IFERROR((G20-G3)/G3,"")</f>
        <v/>
      </c>
      <c r="K20" s="3" t="n">
        <v>4161</v>
      </c>
      <c r="L20" s="6">
        <f>IFERROR(K20/SUM($K$3:$K$21),"")</f>
        <v/>
      </c>
      <c r="M20" s="8" t="n">
        <v>18</v>
      </c>
    </row>
    <row r="21">
      <c r="A21" t="inlineStr">
        <is>
          <t>Denver Farma</t>
        </is>
      </c>
      <c r="B21" t="inlineStr">
        <is>
          <t>NEBIVOLOL DENVER FARMA</t>
        </is>
      </c>
      <c r="C21" t="inlineStr">
        <is>
          <t>5 mg</t>
        </is>
      </c>
      <c r="D21" t="inlineStr">
        <is>
          <t>5 mg comp.x 28</t>
        </is>
      </c>
      <c r="E21" s="2" t="n">
        <v>17023.76</v>
      </c>
      <c r="F21" s="2" t="n">
        <v>17235.47</v>
      </c>
      <c r="G21" s="2">
        <f>IFERROR(F21/28,"")</f>
        <v/>
      </c>
      <c r="H21" s="6">
        <f>IFERROR((F21-E21)/E21,"")</f>
        <v/>
      </c>
      <c r="I21" s="6">
        <f>IFERROR((G21-G5)/G5,"")</f>
        <v/>
      </c>
      <c r="J21" s="6">
        <f>IFERROR((G21-G3)/G3,"")</f>
        <v/>
      </c>
      <c r="K21" s="3" t="n"/>
      <c r="L21" s="6">
        <f>IFERROR(K21/SUM($K$3:$K$21),"")</f>
        <v/>
      </c>
      <c r="M21" s="8" t="n">
        <v>19</v>
      </c>
    </row>
    <row r="23" ht="20" customHeight="1">
      <c r="A23" s="5" t="inlineStr">
        <is>
          <t>Dosis: 5/12.5 mg — nebivolol+hidroclorotiazida</t>
        </is>
      </c>
    </row>
    <row r="24">
      <c r="A24" s="9" t="inlineStr">
        <is>
          <t>Siegfried ★ SIE</t>
        </is>
      </c>
      <c r="B24" s="9" t="inlineStr">
        <is>
          <t>NEBILET D</t>
        </is>
      </c>
      <c r="C24" s="9" t="inlineStr">
        <is>
          <t>5/12.5 mg</t>
        </is>
      </c>
      <c r="D24" s="9" t="inlineStr">
        <is>
          <t>5/12.5 mg comp.x 28</t>
        </is>
      </c>
      <c r="E24" s="10" t="n">
        <v>28061.26</v>
      </c>
      <c r="F24" s="10" t="n">
        <v>28818.92</v>
      </c>
      <c r="G24" s="10">
        <f>IFERROR(F24/28,"")</f>
        <v/>
      </c>
      <c r="H24" s="11" t="n"/>
      <c r="I24" s="11" t="n"/>
      <c r="J24" s="7" t="inlineStr">
        <is>
          <t>Líder</t>
        </is>
      </c>
      <c r="K24" s="12" t="n">
        <v>38760</v>
      </c>
      <c r="L24" s="11">
        <f>IFERROR(K24/SUM($K$24:$K$31),"")</f>
        <v/>
      </c>
      <c r="M24" s="13" t="n">
        <v>1</v>
      </c>
    </row>
    <row r="25">
      <c r="A25" t="inlineStr">
        <is>
          <t>Casasco</t>
        </is>
      </c>
      <c r="B25" t="inlineStr">
        <is>
          <t>NIRPOL D</t>
        </is>
      </c>
      <c r="C25" t="inlineStr">
        <is>
          <t>5/12.5 mg</t>
        </is>
      </c>
      <c r="D25" t="inlineStr">
        <is>
          <t>5/12.5 mg comp.x 28</t>
        </is>
      </c>
      <c r="E25" s="2" t="n">
        <v>26320.8</v>
      </c>
      <c r="F25" s="2" t="n">
        <v>27084.09</v>
      </c>
      <c r="G25" s="2">
        <f>IFERROR(F25/28,"")</f>
        <v/>
      </c>
      <c r="H25" s="6">
        <f>IFERROR((F25-E25)/E25,"")</f>
        <v/>
      </c>
      <c r="I25" s="6">
        <f>IFERROR((G25-G24)/G24,"")</f>
        <v/>
      </c>
      <c r="J25" s="6">
        <f>IFERROR((G25-G24)/G24,"")</f>
        <v/>
      </c>
      <c r="K25" s="3" t="n">
        <v>35641</v>
      </c>
      <c r="L25" s="6">
        <f>IFERROR(K25/SUM($K$24:$K$31),"")</f>
        <v/>
      </c>
      <c r="M25" s="8" t="n">
        <v>2</v>
      </c>
    </row>
    <row r="26">
      <c r="A26" t="inlineStr">
        <is>
          <t>Adium</t>
        </is>
      </c>
      <c r="B26" t="inlineStr">
        <is>
          <t>NABILA D</t>
        </is>
      </c>
      <c r="C26" t="inlineStr">
        <is>
          <t>5/12.5 mg</t>
        </is>
      </c>
      <c r="D26" t="inlineStr">
        <is>
          <t>5/12.5 mg comp.rec.x 28</t>
        </is>
      </c>
      <c r="E26" s="2" t="n">
        <v>28776.83</v>
      </c>
      <c r="F26" s="2" t="n">
        <v>30618.14</v>
      </c>
      <c r="G26" s="2">
        <f>IFERROR(F26/28,"")</f>
        <v/>
      </c>
      <c r="H26" s="6">
        <f>IFERROR((F26-E26)/E26,"")</f>
        <v/>
      </c>
      <c r="I26" s="6">
        <f>IFERROR((G26-G24)/G24,"")</f>
        <v/>
      </c>
      <c r="J26" s="6">
        <f>IFERROR((G26-G24)/G24,"")</f>
        <v/>
      </c>
      <c r="K26" s="3" t="n">
        <v>28721</v>
      </c>
      <c r="L26" s="6">
        <f>IFERROR(K26/SUM($K$24:$K$31),"")</f>
        <v/>
      </c>
      <c r="M26" s="8" t="n">
        <v>3</v>
      </c>
    </row>
    <row r="27">
      <c r="A27" t="inlineStr">
        <is>
          <t>Teva Argentina</t>
        </is>
      </c>
      <c r="B27" t="inlineStr">
        <is>
          <t>SYNCROCOR D</t>
        </is>
      </c>
      <c r="C27" t="inlineStr">
        <is>
          <t>5/12.5 mg</t>
        </is>
      </c>
      <c r="D27" t="inlineStr">
        <is>
          <t>5/12.5 mg comp.rec.x 28</t>
        </is>
      </c>
      <c r="E27" s="2" t="n">
        <v>35614.28</v>
      </c>
      <c r="F27" s="2" t="n">
        <v>37746.51</v>
      </c>
      <c r="G27" s="2">
        <f>IFERROR(F27/28,"")</f>
        <v/>
      </c>
      <c r="H27" s="6">
        <f>IFERROR((F27-E27)/E27,"")</f>
        <v/>
      </c>
      <c r="I27" s="6">
        <f>IFERROR((G27-G24)/G24,"")</f>
        <v/>
      </c>
      <c r="J27" s="6">
        <f>IFERROR((G27-G24)/G24,"")</f>
        <v/>
      </c>
      <c r="K27" s="3" t="n">
        <v>27273</v>
      </c>
      <c r="L27" s="6">
        <f>IFERROR(K27/SUM($K$24:$K$31),"")</f>
        <v/>
      </c>
      <c r="M27" s="8" t="n">
        <v>4</v>
      </c>
    </row>
    <row r="28">
      <c r="A28" t="inlineStr">
        <is>
          <t>Lazar</t>
        </is>
      </c>
      <c r="B28" t="inlineStr">
        <is>
          <t>NEBICOR D</t>
        </is>
      </c>
      <c r="C28" t="inlineStr">
        <is>
          <t>5/12.5 mg</t>
        </is>
      </c>
      <c r="D28" t="inlineStr">
        <is>
          <t>5/12.5 mg comp.rec.x 30</t>
        </is>
      </c>
      <c r="E28" s="2" t="n">
        <v>27130.62</v>
      </c>
      <c r="F28" s="2" t="n">
        <v>28866.6</v>
      </c>
      <c r="G28" s="2">
        <f>IFERROR(F28/30,"")</f>
        <v/>
      </c>
      <c r="H28" s="6">
        <f>IFERROR((F28-E28)/E28,"")</f>
        <v/>
      </c>
      <c r="I28" s="6">
        <f>IFERROR((G28-G24)/G24,"")</f>
        <v/>
      </c>
      <c r="J28" s="6">
        <f>IFERROR((G28-G24)/G24,"")</f>
        <v/>
      </c>
      <c r="K28" s="3" t="n">
        <v>24877</v>
      </c>
      <c r="L28" s="6">
        <f>IFERROR(K28/SUM($K$24:$K$31),"")</f>
        <v/>
      </c>
      <c r="M28" s="8" t="n">
        <v>5</v>
      </c>
    </row>
    <row r="29">
      <c r="A29" t="inlineStr">
        <is>
          <t>Roemmers</t>
        </is>
      </c>
      <c r="B29" t="inlineStr">
        <is>
          <t>CORPRES D</t>
        </is>
      </c>
      <c r="C29" t="inlineStr">
        <is>
          <t>5/12.5 mg</t>
        </is>
      </c>
      <c r="D29" t="inlineStr">
        <is>
          <t>5/12.5 mg comp.rec.x 30</t>
        </is>
      </c>
      <c r="E29" s="2" t="n">
        <v>28733</v>
      </c>
      <c r="F29" s="2" t="n">
        <v>28934</v>
      </c>
      <c r="G29" s="2">
        <f>IFERROR(F29/30,"")</f>
        <v/>
      </c>
      <c r="H29" s="6">
        <f>IFERROR((F29-E29)/E29,"")</f>
        <v/>
      </c>
      <c r="I29" s="6">
        <f>IFERROR((G29-G24)/G24,"")</f>
        <v/>
      </c>
      <c r="J29" s="6">
        <f>IFERROR((G29-G24)/G24,"")</f>
        <v/>
      </c>
      <c r="K29" s="3" t="n">
        <v>22272</v>
      </c>
      <c r="L29" s="6">
        <f>IFERROR(K29/SUM($K$24:$K$31),"")</f>
        <v/>
      </c>
      <c r="M29" s="8" t="n">
        <v>6</v>
      </c>
    </row>
    <row r="30">
      <c r="A30" t="inlineStr">
        <is>
          <t>Baliarda</t>
        </is>
      </c>
      <c r="B30" t="inlineStr">
        <is>
          <t>NIDIB D</t>
        </is>
      </c>
      <c r="C30" t="inlineStr">
        <is>
          <t>5/12.5 mg</t>
        </is>
      </c>
      <c r="D30" t="inlineStr">
        <is>
          <t>5/12.5mg comp.rec.ranx30</t>
        </is>
      </c>
      <c r="E30" s="2" t="n">
        <v>28665.16</v>
      </c>
      <c r="F30" s="2" t="n">
        <v>28808.49</v>
      </c>
      <c r="G30" s="2">
        <f>IFERROR(F30/30,"")</f>
        <v/>
      </c>
      <c r="H30" s="6">
        <f>IFERROR((F30-E30)/E30,"")</f>
        <v/>
      </c>
      <c r="I30" s="6">
        <f>IFERROR((G30-G24)/G24,"")</f>
        <v/>
      </c>
      <c r="J30" s="6">
        <f>IFERROR((G30-G24)/G24,"")</f>
        <v/>
      </c>
      <c r="K30" s="3" t="n">
        <v>7786</v>
      </c>
      <c r="L30" s="6">
        <f>IFERROR(K30/SUM($K$24:$K$31),"")</f>
        <v/>
      </c>
      <c r="M30" s="8" t="n">
        <v>7</v>
      </c>
    </row>
    <row r="31">
      <c r="A31" t="inlineStr">
        <is>
          <t>Roemmers</t>
        </is>
      </c>
      <c r="B31" t="inlineStr">
        <is>
          <t>CORPRES D</t>
        </is>
      </c>
      <c r="C31" t="inlineStr">
        <is>
          <t>5/12.5 mg</t>
        </is>
      </c>
      <c r="D31" t="inlineStr">
        <is>
          <t>5/12.5 mg comp.rec.x 60</t>
        </is>
      </c>
      <c r="E31" s="2" t="n">
        <v>54618</v>
      </c>
      <c r="F31" s="2" t="n">
        <v>55000</v>
      </c>
      <c r="G31" s="2">
        <f>IFERROR(F31/60,"")</f>
        <v/>
      </c>
      <c r="H31" s="6">
        <f>IFERROR((F31-E31)/E31,"")</f>
        <v/>
      </c>
      <c r="I31" s="6">
        <f>IFERROR((G31-G24)/G24,"")</f>
        <v/>
      </c>
      <c r="J31" s="6">
        <f>IFERROR((G31-G24)/G24,"")</f>
        <v/>
      </c>
      <c r="K31" s="3" t="n">
        <v>2678</v>
      </c>
      <c r="L31" s="6">
        <f>IFERROR(K31/SUM($K$24:$K$31),"")</f>
        <v/>
      </c>
      <c r="M31" s="8" t="n">
        <v>8</v>
      </c>
    </row>
  </sheetData>
  <mergeCells count="2">
    <mergeCell ref="A2:M2"/>
    <mergeCell ref="A23:M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" customWidth="1" min="1" max="1"/>
    <col width="20.83" customWidth="1" min="2" max="2"/>
    <col width="12" customWidth="1" min="3" max="3"/>
    <col width="28.83" customWidth="1" min="4" max="4"/>
    <col width="14.83" customWidth="1" min="5" max="5"/>
    <col width="14.83" customWidth="1" min="6" max="6"/>
    <col width="12.83" customWidth="1" min="7" max="7"/>
    <col width="8.83" customWidth="1" min="8" max="8"/>
    <col width="10.83" customWidth="1" min="9" max="9"/>
    <col width="10.83" customWidth="1" min="10" max="10"/>
    <col width="12.83" customWidth="1" min="11" max="11"/>
    <col width="8.83" customWidth="1" min="12" max="12"/>
    <col width="6.83" customWidth="1" min="13" max="13"/>
  </cols>
  <sheetData>
    <row r="1">
      <c r="A1" s="4" t="inlineStr">
        <is>
          <t>Laboratorio</t>
        </is>
      </c>
      <c r="B1" s="4" t="inlineStr">
        <is>
          <t>Producto</t>
        </is>
      </c>
      <c r="C1" s="4" t="inlineStr">
        <is>
          <t>Dosis</t>
        </is>
      </c>
      <c r="D1" s="4" t="inlineStr">
        <is>
          <t>Presentación</t>
        </is>
      </c>
      <c r="E1" s="4" t="inlineStr">
        <is>
          <t>PVP Feb 2026</t>
        </is>
      </c>
      <c r="F1" s="4" t="inlineStr">
        <is>
          <t>PVP Abr 2026</t>
        </is>
      </c>
      <c r="G1" s="4" t="inlineStr">
        <is>
          <t>PVP/Unidad</t>
        </is>
      </c>
      <c r="H1" s="4" t="inlineStr">
        <is>
          <t>Var %</t>
        </is>
      </c>
      <c r="I1" s="4" t="inlineStr">
        <is>
          <t>VS SIE</t>
        </is>
      </c>
      <c r="J1" s="4" t="inlineStr">
        <is>
          <t>VS Líder</t>
        </is>
      </c>
      <c r="K1" s="4" t="inlineStr">
        <is>
          <t>IQVIA MAT U.</t>
        </is>
      </c>
      <c r="L1" s="4" t="inlineStr">
        <is>
          <t>Share %</t>
        </is>
      </c>
      <c r="M1" s="4" t="inlineStr">
        <is>
          <t>Ranking</t>
        </is>
      </c>
    </row>
    <row r="2" ht="20" customHeight="1">
      <c r="A2" s="5" t="inlineStr">
        <is>
          <t>Dosis: 2.5 mg — apixaban</t>
        </is>
      </c>
    </row>
    <row r="3">
      <c r="A3" t="inlineStr">
        <is>
          <t>Nolter</t>
        </is>
      </c>
      <c r="B3" t="inlineStr">
        <is>
          <t>APITENA</t>
        </is>
      </c>
      <c r="C3" t="inlineStr">
        <is>
          <t>2.5 mg</t>
        </is>
      </c>
      <c r="D3" t="inlineStr">
        <is>
          <t>2.5 mg comp.x 60</t>
        </is>
      </c>
      <c r="E3" s="2" t="n">
        <v>127904.69</v>
      </c>
      <c r="F3" s="2" t="n">
        <v>135298.86</v>
      </c>
      <c r="G3" s="2">
        <f>IFERROR(F3/60,"")</f>
        <v/>
      </c>
      <c r="H3" s="6">
        <f>IFERROR((F3-E3)/E3,"")</f>
        <v/>
      </c>
      <c r="I3" s="6">
        <f>IFERROR((G3-G7)/G7,"")</f>
        <v/>
      </c>
      <c r="J3" s="7" t="inlineStr">
        <is>
          <t>Líder</t>
        </is>
      </c>
      <c r="K3" s="3" t="n">
        <v>12998</v>
      </c>
      <c r="L3" s="6">
        <f>IFERROR(K3/SUM($K$3:$K$17),"")</f>
        <v/>
      </c>
      <c r="M3" s="8" t="n">
        <v>1</v>
      </c>
    </row>
    <row r="4">
      <c r="A4" t="inlineStr">
        <is>
          <t>Elea</t>
        </is>
      </c>
      <c r="B4" t="inlineStr">
        <is>
          <t>PRAXANT</t>
        </is>
      </c>
      <c r="C4" t="inlineStr">
        <is>
          <t>2.5 mg</t>
        </is>
      </c>
      <c r="D4" t="inlineStr">
        <is>
          <t>2.5 mg comp.x 60</t>
        </is>
      </c>
      <c r="E4" s="2" t="n">
        <v>133668.81</v>
      </c>
      <c r="F4" s="2" t="n">
        <v>141808.71</v>
      </c>
      <c r="G4" s="2">
        <f>IFERROR(F4/60,"")</f>
        <v/>
      </c>
      <c r="H4" s="6">
        <f>IFERROR((F4-E4)/E4,"")</f>
        <v/>
      </c>
      <c r="I4" s="6">
        <f>IFERROR((G4-G7)/G7,"")</f>
        <v/>
      </c>
      <c r="J4" s="6">
        <f>IFERROR((G4-G3)/G3,"")</f>
        <v/>
      </c>
      <c r="K4" s="3" t="n">
        <v>11504</v>
      </c>
      <c r="L4" s="6">
        <f>IFERROR(K4/SUM($K$3:$K$17),"")</f>
        <v/>
      </c>
      <c r="M4" s="8" t="n">
        <v>2</v>
      </c>
    </row>
    <row r="5">
      <c r="A5" t="inlineStr">
        <is>
          <t>Pfizer</t>
        </is>
      </c>
      <c r="B5" t="inlineStr">
        <is>
          <t>ELIQUIS</t>
        </is>
      </c>
      <c r="C5" t="inlineStr">
        <is>
          <t>2.5 mg</t>
        </is>
      </c>
      <c r="D5" t="inlineStr">
        <is>
          <t>2.5 mg comp.x 60</t>
        </is>
      </c>
      <c r="E5" s="2" t="n">
        <v>367937.76</v>
      </c>
      <c r="F5" s="2" t="n">
        <v>377320.17</v>
      </c>
      <c r="G5" s="2">
        <f>IFERROR(F5/60,"")</f>
        <v/>
      </c>
      <c r="H5" s="6">
        <f>IFERROR((F5-E5)/E5,"")</f>
        <v/>
      </c>
      <c r="I5" s="6">
        <f>IFERROR((G5-G7)/G7,"")</f>
        <v/>
      </c>
      <c r="J5" s="6">
        <f>IFERROR((G5-G3)/G3,"")</f>
        <v/>
      </c>
      <c r="K5" s="3" t="n">
        <v>10302</v>
      </c>
      <c r="L5" s="6">
        <f>IFERROR(K5/SUM($K$3:$K$17),"")</f>
        <v/>
      </c>
      <c r="M5" s="8" t="n">
        <v>3</v>
      </c>
    </row>
    <row r="6">
      <c r="A6" t="inlineStr">
        <is>
          <t>Roemmers</t>
        </is>
      </c>
      <c r="B6" t="inlineStr">
        <is>
          <t>IXIPEN</t>
        </is>
      </c>
      <c r="C6" t="inlineStr">
        <is>
          <t>2.5 mg</t>
        </is>
      </c>
      <c r="D6" t="inlineStr">
        <is>
          <t>2.5 mg comp.x 60</t>
        </is>
      </c>
      <c r="E6" s="2" t="n">
        <v>118401</v>
      </c>
      <c r="F6" s="2" t="n">
        <v>119230</v>
      </c>
      <c r="G6" s="2">
        <f>IFERROR(F6/60,"")</f>
        <v/>
      </c>
      <c r="H6" s="6">
        <f>IFERROR((F6-E6)/E6,"")</f>
        <v/>
      </c>
      <c r="I6" s="6">
        <f>IFERROR((G6-G7)/G7,"")</f>
        <v/>
      </c>
      <c r="J6" s="6">
        <f>IFERROR((G6-G3)/G3,"")</f>
        <v/>
      </c>
      <c r="K6" s="3" t="n">
        <v>9895</v>
      </c>
      <c r="L6" s="6">
        <f>IFERROR(K6/SUM($K$3:$K$17),"")</f>
        <v/>
      </c>
      <c r="M6" s="8" t="n">
        <v>4</v>
      </c>
    </row>
    <row r="7">
      <c r="A7" s="9" t="inlineStr">
        <is>
          <t>Siegfried ★ SIE</t>
        </is>
      </c>
      <c r="B7" s="9" t="inlineStr">
        <is>
          <t>PIXABAN</t>
        </is>
      </c>
      <c r="C7" s="9" t="inlineStr">
        <is>
          <t>2.5 mg</t>
        </is>
      </c>
      <c r="D7" s="9" t="inlineStr">
        <is>
          <t>2.5 mg comp.x 60</t>
        </is>
      </c>
      <c r="E7" s="10" t="n">
        <v>120167.3</v>
      </c>
      <c r="F7" s="10" t="n">
        <v>120167.3</v>
      </c>
      <c r="G7" s="10">
        <f>IFERROR(F7/60,"")</f>
        <v/>
      </c>
      <c r="H7" s="11" t="n"/>
      <c r="I7" s="11" t="n"/>
      <c r="J7" s="11">
        <f>IFERROR((G7-G3)/G3,"")</f>
        <v/>
      </c>
      <c r="K7" s="12" t="n">
        <v>7678</v>
      </c>
      <c r="L7" s="11">
        <f>IFERROR(K7/SUM($K$3:$K$17),"")</f>
        <v/>
      </c>
      <c r="M7" s="13" t="n">
        <v>5</v>
      </c>
    </row>
    <row r="8">
      <c r="A8" t="inlineStr">
        <is>
          <t>Baliarda</t>
        </is>
      </c>
      <c r="B8" t="inlineStr">
        <is>
          <t>AXEPIN</t>
        </is>
      </c>
      <c r="C8" t="inlineStr">
        <is>
          <t>2.5 mg</t>
        </is>
      </c>
      <c r="D8" t="inlineStr">
        <is>
          <t>2.5 mg comp.rec.x 60</t>
        </is>
      </c>
      <c r="E8" s="2" t="n">
        <v>116856.01</v>
      </c>
      <c r="F8" s="2" t="n">
        <v>119193.13</v>
      </c>
      <c r="G8" s="2">
        <f>IFERROR(F8/60,"")</f>
        <v/>
      </c>
      <c r="H8" s="6">
        <f>IFERROR((F8-E8)/E8,"")</f>
        <v/>
      </c>
      <c r="I8" s="6">
        <f>IFERROR((G8-G7)/G7,"")</f>
        <v/>
      </c>
      <c r="J8" s="6">
        <f>IFERROR((G8-G3)/G3,"")</f>
        <v/>
      </c>
      <c r="K8" s="3" t="n">
        <v>3779</v>
      </c>
      <c r="L8" s="6">
        <f>IFERROR(K8/SUM($K$3:$K$17),"")</f>
        <v/>
      </c>
      <c r="M8" s="8" t="n">
        <v>6</v>
      </c>
    </row>
    <row r="9">
      <c r="A9" t="inlineStr">
        <is>
          <t>Montpellier</t>
        </is>
      </c>
      <c r="B9" t="inlineStr">
        <is>
          <t>CIARAN</t>
        </is>
      </c>
      <c r="C9" t="inlineStr">
        <is>
          <t>2.5 mg</t>
        </is>
      </c>
      <c r="D9" t="inlineStr">
        <is>
          <t>2.5 mg comp.x 60</t>
        </is>
      </c>
      <c r="E9" s="2" t="n">
        <v>118715.05</v>
      </c>
      <c r="F9" s="2" t="n">
        <v>119902.2</v>
      </c>
      <c r="G9" s="2">
        <f>IFERROR(F9/60,"")</f>
        <v/>
      </c>
      <c r="H9" s="6">
        <f>IFERROR((F9-E9)/E9,"")</f>
        <v/>
      </c>
      <c r="I9" s="6">
        <f>IFERROR((G9-G7)/G7,"")</f>
        <v/>
      </c>
      <c r="J9" s="6">
        <f>IFERROR((G9-G3)/G3,"")</f>
        <v/>
      </c>
      <c r="K9" s="3" t="n">
        <v>2922</v>
      </c>
      <c r="L9" s="6">
        <f>IFERROR(K9/SUM($K$3:$K$17),"")</f>
        <v/>
      </c>
      <c r="M9" s="8" t="n">
        <v>7</v>
      </c>
    </row>
    <row r="10">
      <c r="A10" t="inlineStr">
        <is>
          <t>Megalabs Argentina</t>
        </is>
      </c>
      <c r="B10" t="inlineStr">
        <is>
          <t>MANTIXA</t>
        </is>
      </c>
      <c r="C10" t="inlineStr">
        <is>
          <t>2.5 mg</t>
        </is>
      </c>
      <c r="D10" t="inlineStr">
        <is>
          <t>2.5 mg comp.x 30</t>
        </is>
      </c>
      <c r="E10" s="2" t="n">
        <v>74719.31</v>
      </c>
      <c r="F10" s="2" t="n">
        <v>79115.87</v>
      </c>
      <c r="G10" s="2">
        <f>IFERROR(F10/30,"")</f>
        <v/>
      </c>
      <c r="H10" s="6">
        <f>IFERROR((F10-E10)/E10,"")</f>
        <v/>
      </c>
      <c r="I10" s="6">
        <f>IFERROR((G10-G7)/G7,"")</f>
        <v/>
      </c>
      <c r="J10" s="6">
        <f>IFERROR((G10-G3)/G3,"")</f>
        <v/>
      </c>
      <c r="K10" s="3" t="n">
        <v>2558</v>
      </c>
      <c r="L10" s="6">
        <f>IFERROR(K10/SUM($K$3:$K$17),"")</f>
        <v/>
      </c>
      <c r="M10" s="8" t="n">
        <v>8</v>
      </c>
    </row>
    <row r="11">
      <c r="A11" t="inlineStr">
        <is>
          <t>Bagó</t>
        </is>
      </c>
      <c r="B11" t="inlineStr">
        <is>
          <t>SEGUMAX</t>
        </is>
      </c>
      <c r="C11" t="inlineStr">
        <is>
          <t>2.5 mg</t>
        </is>
      </c>
      <c r="D11" t="inlineStr">
        <is>
          <t>2.5 mg comp.x 60</t>
        </is>
      </c>
      <c r="E11" s="2" t="n">
        <v>123869.87</v>
      </c>
      <c r="F11" s="2" t="n">
        <v>127040.94</v>
      </c>
      <c r="G11" s="2">
        <f>IFERROR(F11/60,"")</f>
        <v/>
      </c>
      <c r="H11" s="6">
        <f>IFERROR((F11-E11)/E11,"")</f>
        <v/>
      </c>
      <c r="I11" s="6">
        <f>IFERROR((G11-G7)/G7,"")</f>
        <v/>
      </c>
      <c r="J11" s="6">
        <f>IFERROR((G11-G3)/G3,"")</f>
        <v/>
      </c>
      <c r="K11" s="3" t="n">
        <v>2354</v>
      </c>
      <c r="L11" s="6">
        <f>IFERROR(K11/SUM($K$3:$K$17),"")</f>
        <v/>
      </c>
      <c r="M11" s="8" t="n">
        <v>9</v>
      </c>
    </row>
    <row r="12">
      <c r="A12" t="inlineStr">
        <is>
          <t>Casasco</t>
        </is>
      </c>
      <c r="B12" t="inlineStr">
        <is>
          <t>GRIXAN</t>
        </is>
      </c>
      <c r="C12" t="inlineStr">
        <is>
          <t>2.5 mg</t>
        </is>
      </c>
      <c r="D12" t="inlineStr">
        <is>
          <t>2.5 mg comp.x 60</t>
        </is>
      </c>
      <c r="E12" s="2" t="n">
        <v>114616.82</v>
      </c>
      <c r="F12" s="2" t="n">
        <v>117940.7</v>
      </c>
      <c r="G12" s="2">
        <f>IFERROR(F12/60,"")</f>
        <v/>
      </c>
      <c r="H12" s="6">
        <f>IFERROR((F12-E12)/E12,"")</f>
        <v/>
      </c>
      <c r="I12" s="6">
        <f>IFERROR((G12-G7)/G7,"")</f>
        <v/>
      </c>
      <c r="J12" s="6">
        <f>IFERROR((G12-G3)/G3,"")</f>
        <v/>
      </c>
      <c r="K12" s="3" t="n">
        <v>2111</v>
      </c>
      <c r="L12" s="6">
        <f>IFERROR(K12/SUM($K$3:$K$17),"")</f>
        <v/>
      </c>
      <c r="M12" s="8" t="n">
        <v>10</v>
      </c>
    </row>
    <row r="13">
      <c r="A13" t="inlineStr">
        <is>
          <t>Teva Argentina</t>
        </is>
      </c>
      <c r="B13" t="inlineStr">
        <is>
          <t>UNIXIS</t>
        </is>
      </c>
      <c r="C13" t="inlineStr">
        <is>
          <t>2.5 mg</t>
        </is>
      </c>
      <c r="D13" t="inlineStr">
        <is>
          <t>2.5 mg comp.x 60</t>
        </is>
      </c>
      <c r="E13" s="2" t="n">
        <v>113479.69</v>
      </c>
      <c r="F13" s="2" t="n">
        <v>120273.73</v>
      </c>
      <c r="G13" s="2">
        <f>IFERROR(F13/60,"")</f>
        <v/>
      </c>
      <c r="H13" s="6">
        <f>IFERROR((F13-E13)/E13,"")</f>
        <v/>
      </c>
      <c r="I13" s="6">
        <f>IFERROR((G13-G7)/G7,"")</f>
        <v/>
      </c>
      <c r="J13" s="6">
        <f>IFERROR((G13-G3)/G3,"")</f>
        <v/>
      </c>
      <c r="K13" s="3" t="n">
        <v>2085</v>
      </c>
      <c r="L13" s="6">
        <f>IFERROR(K13/SUM($K$3:$K$17),"")</f>
        <v/>
      </c>
      <c r="M13" s="8" t="n">
        <v>11</v>
      </c>
    </row>
    <row r="14">
      <c r="A14" t="inlineStr">
        <is>
          <t>Megalabs Argentina</t>
        </is>
      </c>
      <c r="B14" t="inlineStr">
        <is>
          <t>MANTIXA</t>
        </is>
      </c>
      <c r="C14" t="inlineStr">
        <is>
          <t>2.5 mg</t>
        </is>
      </c>
      <c r="D14" t="inlineStr">
        <is>
          <t>2.5 mg comp.x 60</t>
        </is>
      </c>
      <c r="E14" s="2" t="n">
        <v>149438.61</v>
      </c>
      <c r="F14" s="2" t="n">
        <v>158231.73</v>
      </c>
      <c r="G14" s="2">
        <f>IFERROR(F14/60,"")</f>
        <v/>
      </c>
      <c r="H14" s="6">
        <f>IFERROR((F14-E14)/E14,"")</f>
        <v/>
      </c>
      <c r="I14" s="6">
        <f>IFERROR((G14-G7)/G7,"")</f>
        <v/>
      </c>
      <c r="J14" s="6">
        <f>IFERROR((G14-G3)/G3,"")</f>
        <v/>
      </c>
      <c r="K14" s="3" t="n">
        <v>1433</v>
      </c>
      <c r="L14" s="6">
        <f>IFERROR(K14/SUM($K$3:$K$17),"")</f>
        <v/>
      </c>
      <c r="M14" s="8" t="n">
        <v>12</v>
      </c>
    </row>
    <row r="15">
      <c r="A15" t="inlineStr">
        <is>
          <t>Eurofarma</t>
        </is>
      </c>
      <c r="B15" t="inlineStr">
        <is>
          <t>PIXAR</t>
        </is>
      </c>
      <c r="C15" t="inlineStr">
        <is>
          <t>2.5 mg</t>
        </is>
      </c>
      <c r="D15" t="inlineStr">
        <is>
          <t>2.5 mg comp.x 60</t>
        </is>
      </c>
      <c r="E15" s="2" t="n">
        <v>120415.81</v>
      </c>
      <c r="F15" s="2" t="n">
        <v>127625.1</v>
      </c>
      <c r="G15" s="2">
        <f>IFERROR(F15/60,"")</f>
        <v/>
      </c>
      <c r="H15" s="6">
        <f>IFERROR((F15-E15)/E15,"")</f>
        <v/>
      </c>
      <c r="I15" s="6">
        <f>IFERROR((G15-G7)/G7,"")</f>
        <v/>
      </c>
      <c r="J15" s="6">
        <f>IFERROR((G15-G3)/G3,"")</f>
        <v/>
      </c>
      <c r="K15" s="3" t="n">
        <v>1220</v>
      </c>
      <c r="L15" s="6">
        <f>IFERROR(K15/SUM($K$3:$K$17),"")</f>
        <v/>
      </c>
      <c r="M15" s="8" t="n">
        <v>13</v>
      </c>
    </row>
    <row r="16">
      <c r="A16" t="inlineStr">
        <is>
          <t>Craveri</t>
        </is>
      </c>
      <c r="B16" t="inlineStr">
        <is>
          <t>CRAXABAN</t>
        </is>
      </c>
      <c r="C16" t="inlineStr">
        <is>
          <t>2.5 mg</t>
        </is>
      </c>
      <c r="D16" t="inlineStr">
        <is>
          <t>2.5 mg comp.rec.x 60</t>
        </is>
      </c>
      <c r="E16" s="2" t="n">
        <v>119357.18</v>
      </c>
      <c r="F16" s="2" t="n">
        <v>119357.18</v>
      </c>
      <c r="G16" s="2">
        <f>IFERROR(F16/60,"")</f>
        <v/>
      </c>
      <c r="H16" s="6">
        <f>IFERROR((F16-E16)/E16,"")</f>
        <v/>
      </c>
      <c r="I16" s="6">
        <f>IFERROR((G16-G7)/G7,"")</f>
        <v/>
      </c>
      <c r="J16" s="6">
        <f>IFERROR((G16-G3)/G3,"")</f>
        <v/>
      </c>
      <c r="K16" s="3" t="n"/>
      <c r="L16" s="6">
        <f>IFERROR(K16/SUM($K$3:$K$17),"")</f>
        <v/>
      </c>
      <c r="M16" s="8" t="n">
        <v>14</v>
      </c>
    </row>
    <row r="17">
      <c r="A17" t="inlineStr">
        <is>
          <t>Temis-Lostaló</t>
        </is>
      </c>
      <c r="B17" t="inlineStr">
        <is>
          <t>PIXATEMIS 2.5</t>
        </is>
      </c>
      <c r="C17" t="inlineStr">
        <is>
          <t>2.5 mg</t>
        </is>
      </c>
      <c r="D17" t="inlineStr">
        <is>
          <t>2.5 mg comp.x 60</t>
        </is>
      </c>
      <c r="E17" s="2" t="n">
        <v>127904.68</v>
      </c>
      <c r="F17" s="2" t="n">
        <v>129823.24</v>
      </c>
      <c r="G17" s="2">
        <f>IFERROR(F17/60,"")</f>
        <v/>
      </c>
      <c r="H17" s="6">
        <f>IFERROR((F17-E17)/E17,"")</f>
        <v/>
      </c>
      <c r="I17" s="6">
        <f>IFERROR((G17-G7)/G7,"")</f>
        <v/>
      </c>
      <c r="J17" s="6">
        <f>IFERROR((G17-G3)/G3,"")</f>
        <v/>
      </c>
      <c r="K17" s="3" t="n"/>
      <c r="L17" s="6">
        <f>IFERROR(K17/SUM($K$3:$K$17),"")</f>
        <v/>
      </c>
      <c r="M17" s="8" t="n">
        <v>15</v>
      </c>
    </row>
    <row r="19" ht="20" customHeight="1">
      <c r="A19" s="5" t="inlineStr">
        <is>
          <t>Dosis: 5 mg — apixaban</t>
        </is>
      </c>
    </row>
    <row r="20">
      <c r="A20" t="inlineStr">
        <is>
          <t>Nolter</t>
        </is>
      </c>
      <c r="B20" t="inlineStr">
        <is>
          <t>APITENA</t>
        </is>
      </c>
      <c r="C20" t="inlineStr">
        <is>
          <t>5 mg</t>
        </is>
      </c>
      <c r="D20" t="inlineStr">
        <is>
          <t>5 mg comp.x 60</t>
        </is>
      </c>
      <c r="E20" s="2" t="n">
        <v>127904.69</v>
      </c>
      <c r="F20" s="2" t="n">
        <v>135298.86</v>
      </c>
      <c r="G20" s="2">
        <f>IFERROR(F20/60,"")</f>
        <v/>
      </c>
      <c r="H20" s="6">
        <f>IFERROR((F20-E20)/E20,"")</f>
        <v/>
      </c>
      <c r="I20" s="6">
        <f>IFERROR((G20-G24)/G24,"")</f>
        <v/>
      </c>
      <c r="J20" s="7" t="inlineStr">
        <is>
          <t>Líder</t>
        </is>
      </c>
      <c r="K20" s="3" t="n">
        <v>24900</v>
      </c>
      <c r="L20" s="6">
        <f>IFERROR(K20/SUM($K$20:$K$34),"")</f>
        <v/>
      </c>
      <c r="M20" s="8" t="n">
        <v>1</v>
      </c>
    </row>
    <row r="21">
      <c r="A21" t="inlineStr">
        <is>
          <t>Elea</t>
        </is>
      </c>
      <c r="B21" t="inlineStr">
        <is>
          <t>PRAXANT</t>
        </is>
      </c>
      <c r="C21" t="inlineStr">
        <is>
          <t>5 mg</t>
        </is>
      </c>
      <c r="D21" t="inlineStr">
        <is>
          <t>5 mg comp.x 60</t>
        </is>
      </c>
      <c r="E21" s="2" t="n">
        <v>134852.89</v>
      </c>
      <c r="F21" s="2" t="n">
        <v>143064.89</v>
      </c>
      <c r="G21" s="2">
        <f>IFERROR(F21/60,"")</f>
        <v/>
      </c>
      <c r="H21" s="6">
        <f>IFERROR((F21-E21)/E21,"")</f>
        <v/>
      </c>
      <c r="I21" s="6">
        <f>IFERROR((G21-G24)/G24,"")</f>
        <v/>
      </c>
      <c r="J21" s="6">
        <f>IFERROR((G21-G20)/G20,"")</f>
        <v/>
      </c>
      <c r="K21" s="3" t="n">
        <v>20756</v>
      </c>
      <c r="L21" s="6">
        <f>IFERROR(K21/SUM($K$20:$K$34),"")</f>
        <v/>
      </c>
      <c r="M21" s="8" t="n">
        <v>2</v>
      </c>
    </row>
    <row r="22">
      <c r="A22" t="inlineStr">
        <is>
          <t>Roemmers</t>
        </is>
      </c>
      <c r="B22" t="inlineStr">
        <is>
          <t>IXIPEN</t>
        </is>
      </c>
      <c r="C22" t="inlineStr">
        <is>
          <t>5 mg</t>
        </is>
      </c>
      <c r="D22" t="inlineStr">
        <is>
          <t>5 mg comp.x 60</t>
        </is>
      </c>
      <c r="E22" s="2" t="n">
        <v>118401</v>
      </c>
      <c r="F22" s="2" t="n">
        <v>119230</v>
      </c>
      <c r="G22" s="2">
        <f>IFERROR(F22/60,"")</f>
        <v/>
      </c>
      <c r="H22" s="6">
        <f>IFERROR((F22-E22)/E22,"")</f>
        <v/>
      </c>
      <c r="I22" s="6">
        <f>IFERROR((G22-G24)/G24,"")</f>
        <v/>
      </c>
      <c r="J22" s="6">
        <f>IFERROR((G22-G20)/G20,"")</f>
        <v/>
      </c>
      <c r="K22" s="3" t="n">
        <v>20617</v>
      </c>
      <c r="L22" s="6">
        <f>IFERROR(K22/SUM($K$20:$K$34),"")</f>
        <v/>
      </c>
      <c r="M22" s="8" t="n">
        <v>3</v>
      </c>
    </row>
    <row r="23">
      <c r="A23" t="inlineStr">
        <is>
          <t>Pfizer</t>
        </is>
      </c>
      <c r="B23" t="inlineStr">
        <is>
          <t>ELIQUIS</t>
        </is>
      </c>
      <c r="C23" t="inlineStr">
        <is>
          <t>5 mg</t>
        </is>
      </c>
      <c r="D23" t="inlineStr">
        <is>
          <t>5 mg comp.x 60</t>
        </is>
      </c>
      <c r="E23" s="2" t="n">
        <v>367937.76</v>
      </c>
      <c r="F23" s="2" t="n">
        <v>377320.17</v>
      </c>
      <c r="G23" s="2">
        <f>IFERROR(F23/60,"")</f>
        <v/>
      </c>
      <c r="H23" s="6">
        <f>IFERROR((F23-E23)/E23,"")</f>
        <v/>
      </c>
      <c r="I23" s="6">
        <f>IFERROR((G23-G24)/G24,"")</f>
        <v/>
      </c>
      <c r="J23" s="6">
        <f>IFERROR((G23-G20)/G20,"")</f>
        <v/>
      </c>
      <c r="K23" s="3" t="n">
        <v>19113</v>
      </c>
      <c r="L23" s="6">
        <f>IFERROR(K23/SUM($K$20:$K$34),"")</f>
        <v/>
      </c>
      <c r="M23" s="8" t="n">
        <v>4</v>
      </c>
    </row>
    <row r="24">
      <c r="A24" s="9" t="inlineStr">
        <is>
          <t>Siegfried ★ SIE</t>
        </is>
      </c>
      <c r="B24" s="9" t="inlineStr">
        <is>
          <t>PIXABAN</t>
        </is>
      </c>
      <c r="C24" s="9" t="inlineStr">
        <is>
          <t>5 mg</t>
        </is>
      </c>
      <c r="D24" s="9" t="inlineStr">
        <is>
          <t>5 mg comp.x 60</t>
        </is>
      </c>
      <c r="E24" s="10" t="n">
        <v>123772.32</v>
      </c>
      <c r="F24" s="10" t="n">
        <v>123772.32</v>
      </c>
      <c r="G24" s="10">
        <f>IFERROR(F24/60,"")</f>
        <v/>
      </c>
      <c r="H24" s="11" t="n"/>
      <c r="I24" s="11" t="n"/>
      <c r="J24" s="11">
        <f>IFERROR((G24-G20)/G20,"")</f>
        <v/>
      </c>
      <c r="K24" s="12" t="n">
        <v>15240</v>
      </c>
      <c r="L24" s="11">
        <f>IFERROR(K24/SUM($K$20:$K$34),"")</f>
        <v/>
      </c>
      <c r="M24" s="13" t="n">
        <v>5</v>
      </c>
    </row>
    <row r="25">
      <c r="A25" t="inlineStr">
        <is>
          <t>Baliarda</t>
        </is>
      </c>
      <c r="B25" t="inlineStr">
        <is>
          <t>AXEPIN</t>
        </is>
      </c>
      <c r="C25" t="inlineStr">
        <is>
          <t>5 mg</t>
        </is>
      </c>
      <c r="D25" t="inlineStr">
        <is>
          <t>5 mg comp.rec.x 60</t>
        </is>
      </c>
      <c r="E25" s="2" t="n">
        <v>118384.17</v>
      </c>
      <c r="F25" s="2" t="n">
        <v>119212.86</v>
      </c>
      <c r="G25" s="2">
        <f>IFERROR(F25/60,"")</f>
        <v/>
      </c>
      <c r="H25" s="6">
        <f>IFERROR((F25-E25)/E25,"")</f>
        <v/>
      </c>
      <c r="I25" s="6">
        <f>IFERROR((G25-G24)/G24,"")</f>
        <v/>
      </c>
      <c r="J25" s="6">
        <f>IFERROR((G25-G20)/G20,"")</f>
        <v/>
      </c>
      <c r="K25" s="3" t="n">
        <v>6368</v>
      </c>
      <c r="L25" s="6">
        <f>IFERROR(K25/SUM($K$20:$K$34),"")</f>
        <v/>
      </c>
      <c r="M25" s="8" t="n">
        <v>6</v>
      </c>
    </row>
    <row r="26">
      <c r="A26" t="inlineStr">
        <is>
          <t>Montpellier</t>
        </is>
      </c>
      <c r="B26" t="inlineStr">
        <is>
          <t>CIARAN</t>
        </is>
      </c>
      <c r="C26" t="inlineStr">
        <is>
          <t>5 mg</t>
        </is>
      </c>
      <c r="D26" t="inlineStr">
        <is>
          <t>5mg comp.x 60</t>
        </is>
      </c>
      <c r="E26" s="2" t="n">
        <v>118715.05</v>
      </c>
      <c r="F26" s="2" t="n">
        <v>119902.2</v>
      </c>
      <c r="G26" s="2">
        <f>IFERROR(F26/60,"")</f>
        <v/>
      </c>
      <c r="H26" s="6">
        <f>IFERROR((F26-E26)/E26,"")</f>
        <v/>
      </c>
      <c r="I26" s="6">
        <f>IFERROR((G26-G24)/G24,"")</f>
        <v/>
      </c>
      <c r="J26" s="6">
        <f>IFERROR((G26-G20)/G20,"")</f>
        <v/>
      </c>
      <c r="K26" s="3" t="n">
        <v>5474</v>
      </c>
      <c r="L26" s="6">
        <f>IFERROR(K26/SUM($K$20:$K$34),"")</f>
        <v/>
      </c>
      <c r="M26" s="8" t="n">
        <v>7</v>
      </c>
    </row>
    <row r="27">
      <c r="A27" t="inlineStr">
        <is>
          <t>Bagó</t>
        </is>
      </c>
      <c r="B27" t="inlineStr">
        <is>
          <t>SEGUMAX</t>
        </is>
      </c>
      <c r="C27" t="inlineStr">
        <is>
          <t>5 mg</t>
        </is>
      </c>
      <c r="D27" t="inlineStr">
        <is>
          <t>5 mg comp.x 60</t>
        </is>
      </c>
      <c r="E27" s="2" t="n">
        <v>124357.54</v>
      </c>
      <c r="F27" s="2" t="n">
        <v>127541.1</v>
      </c>
      <c r="G27" s="2">
        <f>IFERROR(F27/60,"")</f>
        <v/>
      </c>
      <c r="H27" s="6">
        <f>IFERROR((F27-E27)/E27,"")</f>
        <v/>
      </c>
      <c r="I27" s="6">
        <f>IFERROR((G27-G24)/G24,"")</f>
        <v/>
      </c>
      <c r="J27" s="6">
        <f>IFERROR((G27-G20)/G20,"")</f>
        <v/>
      </c>
      <c r="K27" s="3" t="n">
        <v>4978</v>
      </c>
      <c r="L27" s="6">
        <f>IFERROR(K27/SUM($K$20:$K$34),"")</f>
        <v/>
      </c>
      <c r="M27" s="8" t="n">
        <v>8</v>
      </c>
    </row>
    <row r="28">
      <c r="A28" t="inlineStr">
        <is>
          <t>Teva Argentina</t>
        </is>
      </c>
      <c r="B28" t="inlineStr">
        <is>
          <t>UNIXIS</t>
        </is>
      </c>
      <c r="C28" t="inlineStr">
        <is>
          <t>5 mg</t>
        </is>
      </c>
      <c r="D28" t="inlineStr">
        <is>
          <t>5 mg comp.x 60</t>
        </is>
      </c>
      <c r="E28" s="2" t="n">
        <v>113479.69</v>
      </c>
      <c r="F28" s="2" t="n">
        <v>120273.73</v>
      </c>
      <c r="G28" s="2">
        <f>IFERROR(F28/60,"")</f>
        <v/>
      </c>
      <c r="H28" s="6">
        <f>IFERROR((F28-E28)/E28,"")</f>
        <v/>
      </c>
      <c r="I28" s="6">
        <f>IFERROR((G28-G24)/G24,"")</f>
        <v/>
      </c>
      <c r="J28" s="6">
        <f>IFERROR((G28-G20)/G20,"")</f>
        <v/>
      </c>
      <c r="K28" s="3" t="n">
        <v>4325</v>
      </c>
      <c r="L28" s="6">
        <f>IFERROR(K28/SUM($K$20:$K$34),"")</f>
        <v/>
      </c>
      <c r="M28" s="8" t="n">
        <v>9</v>
      </c>
    </row>
    <row r="29">
      <c r="A29" t="inlineStr">
        <is>
          <t>Megalabs Argentina</t>
        </is>
      </c>
      <c r="B29" t="inlineStr">
        <is>
          <t>MANTIXA</t>
        </is>
      </c>
      <c r="C29" t="inlineStr">
        <is>
          <t>5 mg</t>
        </is>
      </c>
      <c r="D29" t="inlineStr">
        <is>
          <t>5 mg comp.x 30</t>
        </is>
      </c>
      <c r="E29" s="2" t="n">
        <v>74719.31</v>
      </c>
      <c r="F29" s="2" t="n">
        <v>79115.87</v>
      </c>
      <c r="G29" s="2">
        <f>IFERROR(F29/30,"")</f>
        <v/>
      </c>
      <c r="H29" s="6">
        <f>IFERROR((F29-E29)/E29,"")</f>
        <v/>
      </c>
      <c r="I29" s="6">
        <f>IFERROR((G29-G24)/G24,"")</f>
        <v/>
      </c>
      <c r="J29" s="6">
        <f>IFERROR((G29-G20)/G20,"")</f>
        <v/>
      </c>
      <c r="K29" s="3" t="n">
        <v>3554</v>
      </c>
      <c r="L29" s="6">
        <f>IFERROR(K29/SUM($K$20:$K$34),"")</f>
        <v/>
      </c>
      <c r="M29" s="8" t="n">
        <v>10</v>
      </c>
    </row>
    <row r="30">
      <c r="A30" t="inlineStr">
        <is>
          <t>Casasco</t>
        </is>
      </c>
      <c r="B30" t="inlineStr">
        <is>
          <t>GRIXAN</t>
        </is>
      </c>
      <c r="C30" t="inlineStr">
        <is>
          <t>5 mg</t>
        </is>
      </c>
      <c r="D30" t="inlineStr">
        <is>
          <t>5 mg comp.x 60</t>
        </is>
      </c>
      <c r="E30" s="2" t="n">
        <v>118416.96</v>
      </c>
      <c r="F30" s="2" t="n">
        <v>121851.06</v>
      </c>
      <c r="G30" s="2">
        <f>IFERROR(F30/60,"")</f>
        <v/>
      </c>
      <c r="H30" s="6">
        <f>IFERROR((F30-E30)/E30,"")</f>
        <v/>
      </c>
      <c r="I30" s="6">
        <f>IFERROR((G30-G24)/G24,"")</f>
        <v/>
      </c>
      <c r="J30" s="6">
        <f>IFERROR((G30-G20)/G20,"")</f>
        <v/>
      </c>
      <c r="K30" s="3" t="n">
        <v>2970</v>
      </c>
      <c r="L30" s="6">
        <f>IFERROR(K30/SUM($K$20:$K$34),"")</f>
        <v/>
      </c>
      <c r="M30" s="8" t="n">
        <v>11</v>
      </c>
    </row>
    <row r="31">
      <c r="A31" t="inlineStr">
        <is>
          <t>Megalabs Argentina</t>
        </is>
      </c>
      <c r="B31" t="inlineStr">
        <is>
          <t>MANTIXA</t>
        </is>
      </c>
      <c r="C31" t="inlineStr">
        <is>
          <t>5 mg</t>
        </is>
      </c>
      <c r="D31" t="inlineStr">
        <is>
          <t>5 mg comp.x 60</t>
        </is>
      </c>
      <c r="E31" s="2" t="n">
        <v>150896.55</v>
      </c>
      <c r="F31" s="2" t="n">
        <v>159775.45</v>
      </c>
      <c r="G31" s="2">
        <f>IFERROR(F31/60,"")</f>
        <v/>
      </c>
      <c r="H31" s="6">
        <f>IFERROR((F31-E31)/E31,"")</f>
        <v/>
      </c>
      <c r="I31" s="6">
        <f>IFERROR((G31-G24)/G24,"")</f>
        <v/>
      </c>
      <c r="J31" s="6">
        <f>IFERROR((G31-G20)/G20,"")</f>
        <v/>
      </c>
      <c r="K31" s="3" t="n">
        <v>2728</v>
      </c>
      <c r="L31" s="6">
        <f>IFERROR(K31/SUM($K$20:$K$34),"")</f>
        <v/>
      </c>
      <c r="M31" s="8" t="n">
        <v>12</v>
      </c>
    </row>
    <row r="32">
      <c r="A32" t="inlineStr">
        <is>
          <t>Eurofarma</t>
        </is>
      </c>
      <c r="B32" t="inlineStr">
        <is>
          <t>PIXAR</t>
        </is>
      </c>
      <c r="C32" t="inlineStr">
        <is>
          <t>5 mg</t>
        </is>
      </c>
      <c r="D32" t="inlineStr">
        <is>
          <t>5 mg comp.x 60</t>
        </is>
      </c>
      <c r="E32" s="2" t="n">
        <v>120415.81</v>
      </c>
      <c r="F32" s="2" t="n">
        <v>127625.1</v>
      </c>
      <c r="G32" s="2">
        <f>IFERROR(F32/60,"")</f>
        <v/>
      </c>
      <c r="H32" s="6">
        <f>IFERROR((F32-E32)/E32,"")</f>
        <v/>
      </c>
      <c r="I32" s="6">
        <f>IFERROR((G32-G24)/G24,"")</f>
        <v/>
      </c>
      <c r="J32" s="6">
        <f>IFERROR((G32-G20)/G20,"")</f>
        <v/>
      </c>
      <c r="K32" s="3" t="n">
        <v>1766</v>
      </c>
      <c r="L32" s="6">
        <f>IFERROR(K32/SUM($K$20:$K$34),"")</f>
        <v/>
      </c>
      <c r="M32" s="8" t="n">
        <v>13</v>
      </c>
    </row>
    <row r="33">
      <c r="A33" t="inlineStr">
        <is>
          <t>Craveri</t>
        </is>
      </c>
      <c r="B33" t="inlineStr">
        <is>
          <t>CRAXABAN</t>
        </is>
      </c>
      <c r="C33" t="inlineStr">
        <is>
          <t>5 mg</t>
        </is>
      </c>
      <c r="D33" t="inlineStr">
        <is>
          <t>5 mg comp.rec.x 60</t>
        </is>
      </c>
      <c r="E33" s="2" t="n">
        <v>119357.18</v>
      </c>
      <c r="F33" s="2" t="n">
        <v>119357.18</v>
      </c>
      <c r="G33" s="2">
        <f>IFERROR(F33/60,"")</f>
        <v/>
      </c>
      <c r="H33" s="6">
        <f>IFERROR((F33-E33)/E33,"")</f>
        <v/>
      </c>
      <c r="I33" s="6">
        <f>IFERROR((G33-G24)/G24,"")</f>
        <v/>
      </c>
      <c r="J33" s="6">
        <f>IFERROR((G33-G20)/G20,"")</f>
        <v/>
      </c>
      <c r="K33" s="3" t="n"/>
      <c r="L33" s="6">
        <f>IFERROR(K33/SUM($K$20:$K$34),"")</f>
        <v/>
      </c>
      <c r="M33" s="8" t="n">
        <v>14</v>
      </c>
    </row>
    <row r="34">
      <c r="A34" t="inlineStr">
        <is>
          <t>Temis-Lostaló</t>
        </is>
      </c>
      <c r="B34" t="inlineStr">
        <is>
          <t>PIXATEMIS 5</t>
        </is>
      </c>
      <c r="C34" t="inlineStr">
        <is>
          <t>5 mg</t>
        </is>
      </c>
      <c r="D34" t="inlineStr">
        <is>
          <t>5 mg comp.x 60</t>
        </is>
      </c>
      <c r="E34" s="2" t="n">
        <v>127904.68</v>
      </c>
      <c r="F34" s="2" t="n">
        <v>129823.24</v>
      </c>
      <c r="G34" s="2">
        <f>IFERROR(F34/60,"")</f>
        <v/>
      </c>
      <c r="H34" s="6">
        <f>IFERROR((F34-E34)/E34,"")</f>
        <v/>
      </c>
      <c r="I34" s="6">
        <f>IFERROR((G34-G24)/G24,"")</f>
        <v/>
      </c>
      <c r="J34" s="6">
        <f>IFERROR((G34-G20)/G20,"")</f>
        <v/>
      </c>
      <c r="K34" s="3" t="n"/>
      <c r="L34" s="6">
        <f>IFERROR(K34/SUM($K$20:$K$34),"")</f>
        <v/>
      </c>
      <c r="M34" s="8" t="n">
        <v>15</v>
      </c>
    </row>
  </sheetData>
  <mergeCells count="2">
    <mergeCell ref="A19:M19"/>
    <mergeCell ref="A2:M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" customWidth="1" min="1" max="1"/>
    <col width="20.83" customWidth="1" min="2" max="2"/>
    <col width="12" customWidth="1" min="3" max="3"/>
    <col width="28.83" customWidth="1" min="4" max="4"/>
    <col width="14.83" customWidth="1" min="5" max="5"/>
    <col width="14.83" customWidth="1" min="6" max="6"/>
    <col width="12.83" customWidth="1" min="7" max="7"/>
    <col width="8.83" customWidth="1" min="8" max="8"/>
    <col width="10.83" customWidth="1" min="9" max="9"/>
    <col width="10.83" customWidth="1" min="10" max="10"/>
    <col width="12.83" customWidth="1" min="11" max="11"/>
    <col width="8.83" customWidth="1" min="12" max="12"/>
    <col width="6.83" customWidth="1" min="13" max="13"/>
  </cols>
  <sheetData>
    <row r="1">
      <c r="A1" s="4" t="inlineStr">
        <is>
          <t>Laboratorio</t>
        </is>
      </c>
      <c r="B1" s="4" t="inlineStr">
        <is>
          <t>Producto</t>
        </is>
      </c>
      <c r="C1" s="4" t="inlineStr">
        <is>
          <t>Dosis</t>
        </is>
      </c>
      <c r="D1" s="4" t="inlineStr">
        <is>
          <t>Presentación</t>
        </is>
      </c>
      <c r="E1" s="4" t="inlineStr">
        <is>
          <t>PVP Feb 2026</t>
        </is>
      </c>
      <c r="F1" s="4" t="inlineStr">
        <is>
          <t>PVP Abr 2026</t>
        </is>
      </c>
      <c r="G1" s="4" t="inlineStr">
        <is>
          <t>PVP/Unidad</t>
        </is>
      </c>
      <c r="H1" s="4" t="inlineStr">
        <is>
          <t>Var %</t>
        </is>
      </c>
      <c r="I1" s="4" t="inlineStr">
        <is>
          <t>VS SIE</t>
        </is>
      </c>
      <c r="J1" s="4" t="inlineStr">
        <is>
          <t>VS Líder</t>
        </is>
      </c>
      <c r="K1" s="4" t="inlineStr">
        <is>
          <t>IQVIA MAT U.</t>
        </is>
      </c>
      <c r="L1" s="4" t="inlineStr">
        <is>
          <t>Share %</t>
        </is>
      </c>
      <c r="M1" s="4" t="inlineStr">
        <is>
          <t>Ranking</t>
        </is>
      </c>
    </row>
    <row r="2" ht="20" customHeight="1">
      <c r="A2" s="5" t="inlineStr">
        <is>
          <t>Dosis: 5 mg — rosuvastatina</t>
        </is>
      </c>
    </row>
    <row r="3">
      <c r="A3" t="inlineStr">
        <is>
          <t>Gador</t>
        </is>
      </c>
      <c r="B3" t="inlineStr">
        <is>
          <t>SINLIP</t>
        </is>
      </c>
      <c r="C3" t="inlineStr">
        <is>
          <t>5 mg</t>
        </is>
      </c>
      <c r="D3" t="inlineStr">
        <is>
          <t>5 mg comp.rec.x 30</t>
        </is>
      </c>
      <c r="E3" s="2" t="n">
        <v>15806.12</v>
      </c>
      <c r="F3" s="2" t="n">
        <v>16201.26</v>
      </c>
      <c r="G3" s="2">
        <f>IFERROR(F3/30,"")</f>
        <v/>
      </c>
      <c r="H3" s="6">
        <f>IFERROR((F3-E3)/E3,"")</f>
        <v/>
      </c>
      <c r="I3" s="6">
        <f>IFERROR((G3-G19)/G19,"")</f>
        <v/>
      </c>
      <c r="J3" s="7" t="inlineStr">
        <is>
          <t>Líder</t>
        </is>
      </c>
      <c r="K3" s="3" t="n">
        <v>212225</v>
      </c>
      <c r="L3" s="6">
        <f>IFERROR(K3/SUM($K$3:$K$32),"")</f>
        <v/>
      </c>
      <c r="M3" s="8" t="n">
        <v>1</v>
      </c>
    </row>
    <row r="4">
      <c r="A4" t="inlineStr">
        <is>
          <t>Roemmers</t>
        </is>
      </c>
      <c r="B4" t="inlineStr">
        <is>
          <t>ROVARTAL</t>
        </is>
      </c>
      <c r="C4" t="inlineStr">
        <is>
          <t>5 mg</t>
        </is>
      </c>
      <c r="D4" t="inlineStr">
        <is>
          <t>5 mg comp.rec.x 30</t>
        </is>
      </c>
      <c r="E4" s="2" t="n">
        <v>16960</v>
      </c>
      <c r="F4" s="2" t="n">
        <v>17451</v>
      </c>
      <c r="G4" s="2">
        <f>IFERROR(F4/30,"")</f>
        <v/>
      </c>
      <c r="H4" s="6">
        <f>IFERROR((F4-E4)/E4,"")</f>
        <v/>
      </c>
      <c r="I4" s="6">
        <f>IFERROR((G4-G19)/G19,"")</f>
        <v/>
      </c>
      <c r="J4" s="6">
        <f>IFERROR((G4-G3)/G3,"")</f>
        <v/>
      </c>
      <c r="K4" s="3" t="n">
        <v>167725</v>
      </c>
      <c r="L4" s="6">
        <f>IFERROR(K4/SUM($K$3:$K$32),"")</f>
        <v/>
      </c>
      <c r="M4" s="8" t="n">
        <v>2</v>
      </c>
    </row>
    <row r="5">
      <c r="A5" t="inlineStr">
        <is>
          <t>Gador</t>
        </is>
      </c>
      <c r="B5" t="inlineStr">
        <is>
          <t>SINLIP</t>
        </is>
      </c>
      <c r="C5" t="inlineStr">
        <is>
          <t>5 mg</t>
        </is>
      </c>
      <c r="D5" t="inlineStr">
        <is>
          <t>5 mg comp.rec.x 60</t>
        </is>
      </c>
      <c r="E5" s="2" t="n">
        <v>30000.56</v>
      </c>
      <c r="F5" s="2" t="n">
        <v>30600.57</v>
      </c>
      <c r="G5" s="2">
        <f>IFERROR(F5/60,"")</f>
        <v/>
      </c>
      <c r="H5" s="6">
        <f>IFERROR((F5-E5)/E5,"")</f>
        <v/>
      </c>
      <c r="I5" s="6">
        <f>IFERROR((G5-G19)/G19,"")</f>
        <v/>
      </c>
      <c r="J5" s="6">
        <f>IFERROR((G5-G3)/G3,"")</f>
        <v/>
      </c>
      <c r="K5" s="3" t="n">
        <v>73370</v>
      </c>
      <c r="L5" s="6">
        <f>IFERROR(K5/SUM($K$3:$K$32),"")</f>
        <v/>
      </c>
      <c r="M5" s="8" t="n">
        <v>3</v>
      </c>
    </row>
    <row r="6">
      <c r="A6" t="inlineStr">
        <is>
          <t>Bagó</t>
        </is>
      </c>
      <c r="B6" t="inlineStr">
        <is>
          <t>ROSUVAST 5</t>
        </is>
      </c>
      <c r="C6" t="inlineStr">
        <is>
          <t>5 mg</t>
        </is>
      </c>
      <c r="D6" t="inlineStr">
        <is>
          <t>5 mg comp.x 30</t>
        </is>
      </c>
      <c r="E6" s="2" t="n">
        <v>16794.46</v>
      </c>
      <c r="F6" s="2" t="n">
        <v>17168.98</v>
      </c>
      <c r="G6" s="2">
        <f>IFERROR(F6/30,"")</f>
        <v/>
      </c>
      <c r="H6" s="6">
        <f>IFERROR((F6-E6)/E6,"")</f>
        <v/>
      </c>
      <c r="I6" s="6">
        <f>IFERROR((G6-G19)/G19,"")</f>
        <v/>
      </c>
      <c r="J6" s="6">
        <f>IFERROR((G6-G3)/G3,"")</f>
        <v/>
      </c>
      <c r="K6" s="3" t="n">
        <v>72355</v>
      </c>
      <c r="L6" s="6">
        <f>IFERROR(K6/SUM($K$3:$K$32),"")</f>
        <v/>
      </c>
      <c r="M6" s="8" t="n">
        <v>4</v>
      </c>
    </row>
    <row r="7">
      <c r="A7" t="inlineStr">
        <is>
          <t>Baliarda</t>
        </is>
      </c>
      <c r="B7" t="inlineStr">
        <is>
          <t>REOVEX 5</t>
        </is>
      </c>
      <c r="C7" t="inlineStr">
        <is>
          <t>5 mg</t>
        </is>
      </c>
      <c r="D7" t="inlineStr">
        <is>
          <t>5 mg comp.rec.ran.x 30</t>
        </is>
      </c>
      <c r="E7" s="2" t="n">
        <v>15337.12</v>
      </c>
      <c r="F7" s="2" t="n">
        <v>15781.9</v>
      </c>
      <c r="G7" s="2">
        <f>IFERROR(F7/30,"")</f>
        <v/>
      </c>
      <c r="H7" s="6">
        <f>IFERROR((F7-E7)/E7,"")</f>
        <v/>
      </c>
      <c r="I7" s="6">
        <f>IFERROR((G7-G19)/G19,"")</f>
        <v/>
      </c>
      <c r="J7" s="6">
        <f>IFERROR((G7-G3)/G3,"")</f>
        <v/>
      </c>
      <c r="K7" s="3" t="n">
        <v>64691</v>
      </c>
      <c r="L7" s="6">
        <f>IFERROR(K7/SUM($K$3:$K$32),"")</f>
        <v/>
      </c>
      <c r="M7" s="8" t="n">
        <v>5</v>
      </c>
    </row>
    <row r="8">
      <c r="A8" t="inlineStr">
        <is>
          <t>Elea</t>
        </is>
      </c>
      <c r="B8" t="inlineStr">
        <is>
          <t>LIPEX</t>
        </is>
      </c>
      <c r="C8" t="inlineStr">
        <is>
          <t>5 mg</t>
        </is>
      </c>
      <c r="D8" t="inlineStr">
        <is>
          <t>5 mg comp.x 30</t>
        </is>
      </c>
      <c r="E8" s="2" t="n">
        <v>16824.74</v>
      </c>
      <c r="F8" s="2" t="n">
        <v>17849.3</v>
      </c>
      <c r="G8" s="2">
        <f>IFERROR(F8/30,"")</f>
        <v/>
      </c>
      <c r="H8" s="6">
        <f>IFERROR((F8-E8)/E8,"")</f>
        <v/>
      </c>
      <c r="I8" s="6">
        <f>IFERROR((G8-G19)/G19,"")</f>
        <v/>
      </c>
      <c r="J8" s="6">
        <f>IFERROR((G8-G3)/G3,"")</f>
        <v/>
      </c>
      <c r="K8" s="3" t="n">
        <v>47179</v>
      </c>
      <c r="L8" s="6">
        <f>IFERROR(K8/SUM($K$3:$K$32),"")</f>
        <v/>
      </c>
      <c r="M8" s="8" t="n">
        <v>6</v>
      </c>
    </row>
    <row r="9">
      <c r="A9" t="inlineStr">
        <is>
          <t>Casasco</t>
        </is>
      </c>
      <c r="B9" t="inlineStr">
        <is>
          <t>HIPOLIPOL</t>
        </is>
      </c>
      <c r="C9" t="inlineStr">
        <is>
          <t>5 mg</t>
        </is>
      </c>
      <c r="D9" t="inlineStr">
        <is>
          <t>5 mg comp.rec.x 30</t>
        </is>
      </c>
      <c r="E9" s="2" t="n">
        <v>15364.38</v>
      </c>
      <c r="F9" s="2" t="n">
        <v>15809.96</v>
      </c>
      <c r="G9" s="2">
        <f>IFERROR(F9/30,"")</f>
        <v/>
      </c>
      <c r="H9" s="6">
        <f>IFERROR((F9-E9)/E9,"")</f>
        <v/>
      </c>
      <c r="I9" s="6">
        <f>IFERROR((G9-G19)/G19,"")</f>
        <v/>
      </c>
      <c r="J9" s="6">
        <f>IFERROR((G9-G3)/G3,"")</f>
        <v/>
      </c>
      <c r="K9" s="3" t="n">
        <v>39920</v>
      </c>
      <c r="L9" s="6">
        <f>IFERROR(K9/SUM($K$3:$K$32),"")</f>
        <v/>
      </c>
      <c r="M9" s="8" t="n">
        <v>7</v>
      </c>
    </row>
    <row r="10">
      <c r="A10" t="inlineStr">
        <is>
          <t>Montpellier</t>
        </is>
      </c>
      <c r="B10" t="inlineStr">
        <is>
          <t>ROSUSTATIN</t>
        </is>
      </c>
      <c r="C10" t="inlineStr">
        <is>
          <t>5 mg</t>
        </is>
      </c>
      <c r="D10" t="inlineStr">
        <is>
          <t>5 mg comp.x 30</t>
        </is>
      </c>
      <c r="E10" s="2" t="n">
        <v>15296.49</v>
      </c>
      <c r="F10" s="2" t="n">
        <v>15296.49</v>
      </c>
      <c r="G10" s="2">
        <f>IFERROR(F10/30,"")</f>
        <v/>
      </c>
      <c r="H10" s="6">
        <f>IFERROR((F10-E10)/E10,"")</f>
        <v/>
      </c>
      <c r="I10" s="6">
        <f>IFERROR((G10-G19)/G19,"")</f>
        <v/>
      </c>
      <c r="J10" s="6">
        <f>IFERROR((G10-G3)/G3,"")</f>
        <v/>
      </c>
      <c r="K10" s="3" t="n">
        <v>37208</v>
      </c>
      <c r="L10" s="6">
        <f>IFERROR(K10/SUM($K$3:$K$32),"")</f>
        <v/>
      </c>
      <c r="M10" s="8" t="n">
        <v>8</v>
      </c>
    </row>
    <row r="11">
      <c r="A11" t="inlineStr">
        <is>
          <t>Nolter</t>
        </is>
      </c>
      <c r="B11" t="inlineStr">
        <is>
          <t>ROSUFEN</t>
        </is>
      </c>
      <c r="C11" t="inlineStr">
        <is>
          <t>5 mg</t>
        </is>
      </c>
      <c r="D11" t="inlineStr">
        <is>
          <t>5 mg comp.rec.x 30</t>
        </is>
      </c>
      <c r="E11" s="2" t="n">
        <v>16755.41</v>
      </c>
      <c r="F11" s="2" t="n">
        <v>17741.3</v>
      </c>
      <c r="G11" s="2">
        <f>IFERROR(F11/30,"")</f>
        <v/>
      </c>
      <c r="H11" s="6">
        <f>IFERROR((F11-E11)/E11,"")</f>
        <v/>
      </c>
      <c r="I11" s="6">
        <f>IFERROR((G11-G19)/G19,"")</f>
        <v/>
      </c>
      <c r="J11" s="6">
        <f>IFERROR((G11-G3)/G3,"")</f>
        <v/>
      </c>
      <c r="K11" s="3" t="n">
        <v>31468</v>
      </c>
      <c r="L11" s="6">
        <f>IFERROR(K11/SUM($K$3:$K$32),"")</f>
        <v/>
      </c>
      <c r="M11" s="8" t="n">
        <v>9</v>
      </c>
    </row>
    <row r="12">
      <c r="A12" t="inlineStr">
        <is>
          <t>AstraZeneca</t>
        </is>
      </c>
      <c r="B12" t="inlineStr">
        <is>
          <t>CRESTOR</t>
        </is>
      </c>
      <c r="C12" t="inlineStr">
        <is>
          <t>5 mg</t>
        </is>
      </c>
      <c r="D12" t="inlineStr">
        <is>
          <t>5 mg comp.x 28</t>
        </is>
      </c>
      <c r="E12" s="2" t="n">
        <v>30685.83</v>
      </c>
      <c r="F12" s="2" t="n">
        <v>32395.03</v>
      </c>
      <c r="G12" s="2">
        <f>IFERROR(F12/28,"")</f>
        <v/>
      </c>
      <c r="H12" s="6">
        <f>IFERROR((F12-E12)/E12,"")</f>
        <v/>
      </c>
      <c r="I12" s="6">
        <f>IFERROR((G12-G19)/G19,"")</f>
        <v/>
      </c>
      <c r="J12" s="6">
        <f>IFERROR((G12-G3)/G3,"")</f>
        <v/>
      </c>
      <c r="K12" s="3" t="n">
        <v>29796</v>
      </c>
      <c r="L12" s="6">
        <f>IFERROR(K12/SUM($K$3:$K$32),"")</f>
        <v/>
      </c>
      <c r="M12" s="8" t="n">
        <v>10</v>
      </c>
    </row>
    <row r="13">
      <c r="A13" t="inlineStr">
        <is>
          <t>Bagó</t>
        </is>
      </c>
      <c r="B13" t="inlineStr">
        <is>
          <t>ROSUVAST 5</t>
        </is>
      </c>
      <c r="C13" t="inlineStr">
        <is>
          <t>5 mg</t>
        </is>
      </c>
      <c r="D13" t="inlineStr">
        <is>
          <t>5 mg comp.x 28</t>
        </is>
      </c>
      <c r="E13" s="2" t="n">
        <v>18549.59</v>
      </c>
      <c r="F13" s="2" t="n">
        <v>18963.25</v>
      </c>
      <c r="G13" s="2">
        <f>IFERROR(F13/28,"")</f>
        <v/>
      </c>
      <c r="H13" s="6">
        <f>IFERROR((F13-E13)/E13,"")</f>
        <v/>
      </c>
      <c r="I13" s="6">
        <f>IFERROR((G13-G19)/G19,"")</f>
        <v/>
      </c>
      <c r="J13" s="6">
        <f>IFERROR((G13-G3)/G3,"")</f>
        <v/>
      </c>
      <c r="K13" s="3" t="n">
        <v>26221</v>
      </c>
      <c r="L13" s="6">
        <f>IFERROR(K13/SUM($K$3:$K$32),"")</f>
        <v/>
      </c>
      <c r="M13" s="8" t="n">
        <v>11</v>
      </c>
    </row>
    <row r="14">
      <c r="A14" t="inlineStr">
        <is>
          <t>Roemmers</t>
        </is>
      </c>
      <c r="B14" t="inlineStr">
        <is>
          <t>ROVARTAL</t>
        </is>
      </c>
      <c r="C14" t="inlineStr">
        <is>
          <t>5 mg</t>
        </is>
      </c>
      <c r="D14" t="inlineStr">
        <is>
          <t>5 mg comp.rec.x 60</t>
        </is>
      </c>
      <c r="E14" s="2" t="n">
        <v>30431</v>
      </c>
      <c r="F14" s="2" t="n">
        <v>31313</v>
      </c>
      <c r="G14" s="2">
        <f>IFERROR(F14/60,"")</f>
        <v/>
      </c>
      <c r="H14" s="6">
        <f>IFERROR((F14-E14)/E14,"")</f>
        <v/>
      </c>
      <c r="I14" s="6">
        <f>IFERROR((G14-G19)/G19,"")</f>
        <v/>
      </c>
      <c r="J14" s="6">
        <f>IFERROR((G14-G3)/G3,"")</f>
        <v/>
      </c>
      <c r="K14" s="3" t="n">
        <v>25611</v>
      </c>
      <c r="L14" s="6">
        <f>IFERROR(K14/SUM($K$3:$K$32),"")</f>
        <v/>
      </c>
      <c r="M14" s="8" t="n">
        <v>12</v>
      </c>
    </row>
    <row r="15">
      <c r="A15" t="inlineStr">
        <is>
          <t>Bagó</t>
        </is>
      </c>
      <c r="B15" t="inlineStr">
        <is>
          <t>ROSUVAST 5</t>
        </is>
      </c>
      <c r="C15" t="inlineStr">
        <is>
          <t>5 mg</t>
        </is>
      </c>
      <c r="D15" t="inlineStr">
        <is>
          <t>5 mg comp.x 60</t>
        </is>
      </c>
      <c r="E15" s="2" t="n">
        <v>31732.6</v>
      </c>
      <c r="F15" s="2" t="n">
        <v>32440.23</v>
      </c>
      <c r="G15" s="2">
        <f>IFERROR(F15/60,"")</f>
        <v/>
      </c>
      <c r="H15" s="6">
        <f>IFERROR((F15-E15)/E15,"")</f>
        <v/>
      </c>
      <c r="I15" s="6">
        <f>IFERROR((G15-G19)/G19,"")</f>
        <v/>
      </c>
      <c r="J15" s="6">
        <f>IFERROR((G15-G3)/G3,"")</f>
        <v/>
      </c>
      <c r="K15" s="3" t="n">
        <v>16178</v>
      </c>
      <c r="L15" s="6">
        <f>IFERROR(K15/SUM($K$3:$K$32),"")</f>
        <v/>
      </c>
      <c r="M15" s="8" t="n">
        <v>13</v>
      </c>
    </row>
    <row r="16">
      <c r="A16" t="inlineStr">
        <is>
          <t>Teva Argentina</t>
        </is>
      </c>
      <c r="B16" t="inlineStr">
        <is>
          <t>ARTOMEY</t>
        </is>
      </c>
      <c r="C16" t="inlineStr">
        <is>
          <t>5 mg</t>
        </is>
      </c>
      <c r="D16" t="inlineStr">
        <is>
          <t>5 mg comp.x 30</t>
        </is>
      </c>
      <c r="E16" s="2" t="n">
        <v>17628.64</v>
      </c>
      <c r="F16" s="2" t="n">
        <v>18684.06</v>
      </c>
      <c r="G16" s="2">
        <f>IFERROR(F16/30,"")</f>
        <v/>
      </c>
      <c r="H16" s="6">
        <f>IFERROR((F16-E16)/E16,"")</f>
        <v/>
      </c>
      <c r="I16" s="6">
        <f>IFERROR((G16-G19)/G19,"")</f>
        <v/>
      </c>
      <c r="J16" s="6">
        <f>IFERROR((G16-G3)/G3,"")</f>
        <v/>
      </c>
      <c r="K16" s="3" t="n">
        <v>15374</v>
      </c>
      <c r="L16" s="6">
        <f>IFERROR(K16/SUM($K$3:$K$32),"")</f>
        <v/>
      </c>
      <c r="M16" s="8" t="n">
        <v>14</v>
      </c>
    </row>
    <row r="17">
      <c r="A17" t="inlineStr">
        <is>
          <t>Lepetit</t>
        </is>
      </c>
      <c r="B17" t="inlineStr">
        <is>
          <t>ROSUX</t>
        </is>
      </c>
      <c r="C17" t="inlineStr">
        <is>
          <t>5 mg</t>
        </is>
      </c>
      <c r="D17" t="inlineStr">
        <is>
          <t>5 mg comp.x 30</t>
        </is>
      </c>
      <c r="E17" s="2" t="n">
        <v>13790</v>
      </c>
      <c r="F17" s="2" t="n">
        <v>15720</v>
      </c>
      <c r="G17" s="2">
        <f>IFERROR(F17/30,"")</f>
        <v/>
      </c>
      <c r="H17" s="6">
        <f>IFERROR((F17-E17)/E17,"")</f>
        <v/>
      </c>
      <c r="I17" s="6">
        <f>IFERROR((G17-G19)/G19,"")</f>
        <v/>
      </c>
      <c r="J17" s="6">
        <f>IFERROR((G17-G3)/G3,"")</f>
        <v/>
      </c>
      <c r="K17" s="3" t="n">
        <v>13913</v>
      </c>
      <c r="L17" s="6">
        <f>IFERROR(K17/SUM($K$3:$K$32),"")</f>
        <v/>
      </c>
      <c r="M17" s="8" t="n">
        <v>15</v>
      </c>
    </row>
    <row r="18">
      <c r="A18" t="inlineStr">
        <is>
          <t>Finadiet</t>
        </is>
      </c>
      <c r="B18" t="inlineStr">
        <is>
          <t>MESOTEROL 5</t>
        </is>
      </c>
      <c r="C18" t="inlineStr">
        <is>
          <t>5 mg</t>
        </is>
      </c>
      <c r="D18" t="inlineStr">
        <is>
          <t>5 mg comp.rec.x 30</t>
        </is>
      </c>
      <c r="E18" s="2" t="n">
        <v>13996.52</v>
      </c>
      <c r="F18" s="2" t="n">
        <v>14990.28</v>
      </c>
      <c r="G18" s="2">
        <f>IFERROR(F18/30,"")</f>
        <v/>
      </c>
      <c r="H18" s="6">
        <f>IFERROR((F18-E18)/E18,"")</f>
        <v/>
      </c>
      <c r="I18" s="6">
        <f>IFERROR((G18-G19)/G19,"")</f>
        <v/>
      </c>
      <c r="J18" s="6">
        <f>IFERROR((G18-G3)/G3,"")</f>
        <v/>
      </c>
      <c r="K18" s="3" t="n">
        <v>12522</v>
      </c>
      <c r="L18" s="6">
        <f>IFERROR(K18/SUM($K$3:$K$32),"")</f>
        <v/>
      </c>
      <c r="M18" s="8" t="n">
        <v>16</v>
      </c>
    </row>
    <row r="19">
      <c r="A19" s="9" t="inlineStr">
        <is>
          <t>Siegfried ★ SIE</t>
        </is>
      </c>
      <c r="B19" s="9" t="inlineStr">
        <is>
          <t>ROXOLAN</t>
        </is>
      </c>
      <c r="C19" s="9" t="inlineStr">
        <is>
          <t>5 mg</t>
        </is>
      </c>
      <c r="D19" s="9" t="inlineStr">
        <is>
          <t>5 mg comp.rec.x 30</t>
        </is>
      </c>
      <c r="E19" s="10" t="n">
        <v>15850.49</v>
      </c>
      <c r="F19" s="10" t="n">
        <v>15850.49</v>
      </c>
      <c r="G19" s="10">
        <f>IFERROR(F19/30,"")</f>
        <v/>
      </c>
      <c r="H19" s="11" t="n"/>
      <c r="I19" s="11" t="n"/>
      <c r="J19" s="11">
        <f>IFERROR((G19-G3)/G3,"")</f>
        <v/>
      </c>
      <c r="K19" s="12" t="n">
        <v>9829</v>
      </c>
      <c r="L19" s="11">
        <f>IFERROR(K19/SUM($K$3:$K$32),"")</f>
        <v/>
      </c>
      <c r="M19" s="13" t="n">
        <v>17</v>
      </c>
    </row>
    <row r="20">
      <c r="A20" t="inlineStr">
        <is>
          <t>Baliarda</t>
        </is>
      </c>
      <c r="B20" t="inlineStr">
        <is>
          <t>REOVEX 5</t>
        </is>
      </c>
      <c r="C20" t="inlineStr">
        <is>
          <t>5 mg</t>
        </is>
      </c>
      <c r="D20" t="inlineStr">
        <is>
          <t>5 mg comp.rec.ran.x 60</t>
        </is>
      </c>
      <c r="E20" s="2" t="n">
        <v>29227.64</v>
      </c>
      <c r="F20" s="2" t="n">
        <v>30075.24</v>
      </c>
      <c r="G20" s="2">
        <f>IFERROR(F20/60,"")</f>
        <v/>
      </c>
      <c r="H20" s="6">
        <f>IFERROR((F20-E20)/E20,"")</f>
        <v/>
      </c>
      <c r="I20" s="6">
        <f>IFERROR((G20-G19)/G19,"")</f>
        <v/>
      </c>
      <c r="J20" s="6">
        <f>IFERROR((G20-G3)/G3,"")</f>
        <v/>
      </c>
      <c r="K20" s="3" t="n">
        <v>7386</v>
      </c>
      <c r="L20" s="6">
        <f>IFERROR(K20/SUM($K$3:$K$32),"")</f>
        <v/>
      </c>
      <c r="M20" s="8" t="n">
        <v>18</v>
      </c>
    </row>
    <row r="21">
      <c r="A21" t="inlineStr">
        <is>
          <t>Lazar</t>
        </is>
      </c>
      <c r="B21" t="inlineStr">
        <is>
          <t>ASTENDE</t>
        </is>
      </c>
      <c r="C21" t="inlineStr">
        <is>
          <t>5 mg</t>
        </is>
      </c>
      <c r="D21" t="inlineStr">
        <is>
          <t>5 mg comp.rec.x 30</t>
        </is>
      </c>
      <c r="E21" s="2" t="n">
        <v>15113.56</v>
      </c>
      <c r="F21" s="2" t="n">
        <v>16080.62</v>
      </c>
      <c r="G21" s="2">
        <f>IFERROR(F21/30,"")</f>
        <v/>
      </c>
      <c r="H21" s="6">
        <f>IFERROR((F21-E21)/E21,"")</f>
        <v/>
      </c>
      <c r="I21" s="6">
        <f>IFERROR((G21-G19)/G19,"")</f>
        <v/>
      </c>
      <c r="J21" s="6">
        <f>IFERROR((G21-G3)/G3,"")</f>
        <v/>
      </c>
      <c r="K21" s="3" t="n">
        <v>7099</v>
      </c>
      <c r="L21" s="6">
        <f>IFERROR(K21/SUM($K$3:$K$32),"")</f>
        <v/>
      </c>
      <c r="M21" s="8" t="n">
        <v>19</v>
      </c>
    </row>
    <row r="22">
      <c r="A22" t="inlineStr">
        <is>
          <t>Casasco</t>
        </is>
      </c>
      <c r="B22" t="inlineStr">
        <is>
          <t>HIPOLIPOL</t>
        </is>
      </c>
      <c r="C22" t="inlineStr">
        <is>
          <t>5 mg</t>
        </is>
      </c>
      <c r="D22" t="inlineStr">
        <is>
          <t>5 mg comp.rec.x 56</t>
        </is>
      </c>
      <c r="E22" s="2" t="n">
        <v>29350.93</v>
      </c>
      <c r="F22" s="2" t="n">
        <v>30202.1</v>
      </c>
      <c r="G22" s="2">
        <f>IFERROR(F22/56,"")</f>
        <v/>
      </c>
      <c r="H22" s="6">
        <f>IFERROR((F22-E22)/E22,"")</f>
        <v/>
      </c>
      <c r="I22" s="6">
        <f>IFERROR((G22-G19)/G19,"")</f>
        <v/>
      </c>
      <c r="J22" s="6">
        <f>IFERROR((G22-G3)/G3,"")</f>
        <v/>
      </c>
      <c r="K22" s="3" t="n">
        <v>6937</v>
      </c>
      <c r="L22" s="6">
        <f>IFERROR(K22/SUM($K$3:$K$32),"")</f>
        <v/>
      </c>
      <c r="M22" s="8" t="n">
        <v>20</v>
      </c>
    </row>
    <row r="23">
      <c r="A23" t="inlineStr">
        <is>
          <t>Casasco</t>
        </is>
      </c>
      <c r="B23" t="inlineStr">
        <is>
          <t>HIPOLIPOL</t>
        </is>
      </c>
      <c r="C23" t="inlineStr">
        <is>
          <t>5 mg</t>
        </is>
      </c>
      <c r="D23" t="inlineStr">
        <is>
          <t>5 mg comp.rec.x 28</t>
        </is>
      </c>
      <c r="E23" s="2" t="n">
        <v>15271.08</v>
      </c>
      <c r="F23" s="2" t="n">
        <v>15713.93</v>
      </c>
      <c r="G23" s="2">
        <f>IFERROR(F23/28,"")</f>
        <v/>
      </c>
      <c r="H23" s="6">
        <f>IFERROR((F23-E23)/E23,"")</f>
        <v/>
      </c>
      <c r="I23" s="6">
        <f>IFERROR((G23-G19)/G19,"")</f>
        <v/>
      </c>
      <c r="J23" s="6">
        <f>IFERROR((G23-G3)/G3,"")</f>
        <v/>
      </c>
      <c r="K23" s="3" t="n">
        <v>6849</v>
      </c>
      <c r="L23" s="6">
        <f>IFERROR(K23/SUM($K$3:$K$32),"")</f>
        <v/>
      </c>
      <c r="M23" s="8" t="n">
        <v>21</v>
      </c>
    </row>
    <row r="24">
      <c r="A24" t="inlineStr">
        <is>
          <t>Géminis Farmacéutica</t>
        </is>
      </c>
      <c r="B24" t="inlineStr">
        <is>
          <t>ROSUCOL</t>
        </is>
      </c>
      <c r="C24" t="inlineStr">
        <is>
          <t>5 mg</t>
        </is>
      </c>
      <c r="D24" t="inlineStr">
        <is>
          <t>5 mg comp.x 30</t>
        </is>
      </c>
      <c r="E24" s="2" t="n">
        <v>13581.65</v>
      </c>
      <c r="F24" s="2" t="n">
        <v>13921.19</v>
      </c>
      <c r="G24" s="2">
        <f>IFERROR(F24/30,"")</f>
        <v/>
      </c>
      <c r="H24" s="6">
        <f>IFERROR((F24-E24)/E24,"")</f>
        <v/>
      </c>
      <c r="I24" s="6">
        <f>IFERROR((G24-G19)/G19,"")</f>
        <v/>
      </c>
      <c r="J24" s="6">
        <f>IFERROR((G24-G3)/G3,"")</f>
        <v/>
      </c>
      <c r="K24" s="3" t="n">
        <v>3659</v>
      </c>
      <c r="L24" s="6">
        <f>IFERROR(K24/SUM($K$3:$K$32),"")</f>
        <v/>
      </c>
      <c r="M24" s="8" t="n">
        <v>22</v>
      </c>
    </row>
    <row r="25">
      <c r="A25" t="inlineStr">
        <is>
          <t>Craveri</t>
        </is>
      </c>
      <c r="B25" t="inlineStr">
        <is>
          <t>LIPOGLUTAREN 5</t>
        </is>
      </c>
      <c r="C25" t="inlineStr">
        <is>
          <t>5 mg</t>
        </is>
      </c>
      <c r="D25" t="inlineStr">
        <is>
          <t>5 mg comp.rec.x 30</t>
        </is>
      </c>
      <c r="E25" s="2" t="n">
        <v>19167.33</v>
      </c>
      <c r="F25" s="2" t="n">
        <v>20631.72</v>
      </c>
      <c r="G25" s="2">
        <f>IFERROR(F25/30,"")</f>
        <v/>
      </c>
      <c r="H25" s="6">
        <f>IFERROR((F25-E25)/E25,"")</f>
        <v/>
      </c>
      <c r="I25" s="6">
        <f>IFERROR((G25-G19)/G19,"")</f>
        <v/>
      </c>
      <c r="J25" s="6">
        <f>IFERROR((G25-G3)/G3,"")</f>
        <v/>
      </c>
      <c r="K25" s="3" t="n">
        <v>621</v>
      </c>
      <c r="L25" s="6">
        <f>IFERROR(K25/SUM($K$3:$K$32),"")</f>
        <v/>
      </c>
      <c r="M25" s="8" t="n">
        <v>23</v>
      </c>
    </row>
    <row r="26">
      <c r="A26" t="inlineStr">
        <is>
          <t>Géminis Farmacéutica</t>
        </is>
      </c>
      <c r="B26" t="inlineStr">
        <is>
          <t>ROSUCOL</t>
        </is>
      </c>
      <c r="C26" t="inlineStr">
        <is>
          <t>5 mg</t>
        </is>
      </c>
      <c r="D26" t="inlineStr">
        <is>
          <t>5 mg comp.x 60</t>
        </is>
      </c>
      <c r="E26" s="2" t="n">
        <v>28349.67</v>
      </c>
      <c r="F26" s="2" t="n">
        <v>29058.41</v>
      </c>
      <c r="G26" s="2">
        <f>IFERROR(F26/60,"")</f>
        <v/>
      </c>
      <c r="H26" s="6">
        <f>IFERROR((F26-E26)/E26,"")</f>
        <v/>
      </c>
      <c r="I26" s="6">
        <f>IFERROR((G26-G19)/G19,"")</f>
        <v/>
      </c>
      <c r="J26" s="6">
        <f>IFERROR((G26-G3)/G3,"")</f>
        <v/>
      </c>
      <c r="K26" s="3" t="n">
        <v>315</v>
      </c>
      <c r="L26" s="6">
        <f>IFERROR(K26/SUM($K$3:$K$32),"")</f>
        <v/>
      </c>
      <c r="M26" s="8" t="n">
        <v>24</v>
      </c>
    </row>
    <row r="27">
      <c r="A27" t="inlineStr">
        <is>
          <t>Beta</t>
        </is>
      </c>
      <c r="B27" t="inlineStr">
        <is>
          <t>ATERONOVA</t>
        </is>
      </c>
      <c r="C27" t="inlineStr">
        <is>
          <t>5 mg</t>
        </is>
      </c>
      <c r="D27" t="inlineStr">
        <is>
          <t>5 mg comp.x 30</t>
        </is>
      </c>
      <c r="E27" s="2" t="n">
        <v>15725.87</v>
      </c>
      <c r="F27" s="2" t="n">
        <v>16732.11</v>
      </c>
      <c r="G27" s="2">
        <f>IFERROR(F27/30,"")</f>
        <v/>
      </c>
      <c r="H27" s="6">
        <f>IFERROR((F27-E27)/E27,"")</f>
        <v/>
      </c>
      <c r="I27" s="6">
        <f>IFERROR((G27-G19)/G19,"")</f>
        <v/>
      </c>
      <c r="J27" s="6">
        <f>IFERROR((G27-G3)/G3,"")</f>
        <v/>
      </c>
      <c r="K27" s="3" t="n"/>
      <c r="L27" s="6">
        <f>IFERROR(K27/SUM($K$3:$K$32),"")</f>
        <v/>
      </c>
      <c r="M27" s="8" t="n">
        <v>25</v>
      </c>
    </row>
    <row r="28">
      <c r="A28" t="inlineStr">
        <is>
          <t>Biotenk</t>
        </is>
      </c>
      <c r="B28" t="inlineStr">
        <is>
          <t>ROSTAN</t>
        </is>
      </c>
      <c r="C28" t="inlineStr">
        <is>
          <t>5 mg</t>
        </is>
      </c>
      <c r="D28" t="inlineStr">
        <is>
          <t>5 mg comp.rec.x 30</t>
        </is>
      </c>
      <c r="E28" s="2" t="n">
        <v>14169.13</v>
      </c>
      <c r="F28" s="2" t="n">
        <v>15177.97</v>
      </c>
      <c r="G28" s="2">
        <f>IFERROR(F28/30,"")</f>
        <v/>
      </c>
      <c r="H28" s="6">
        <f>IFERROR((F28-E28)/E28,"")</f>
        <v/>
      </c>
      <c r="I28" s="6">
        <f>IFERROR((G28-G19)/G19,"")</f>
        <v/>
      </c>
      <c r="J28" s="6">
        <f>IFERROR((G28-G3)/G3,"")</f>
        <v/>
      </c>
      <c r="K28" s="3" t="n"/>
      <c r="L28" s="6">
        <f>IFERROR(K28/SUM($K$3:$K$32),"")</f>
        <v/>
      </c>
      <c r="M28" s="8" t="n">
        <v>26</v>
      </c>
    </row>
    <row r="29">
      <c r="A29" t="inlineStr">
        <is>
          <t>Laboratorios Bernabó</t>
        </is>
      </c>
      <c r="B29" t="inlineStr">
        <is>
          <t>ROSUBER</t>
        </is>
      </c>
      <c r="C29" t="inlineStr">
        <is>
          <t>5 mg</t>
        </is>
      </c>
      <c r="D29" t="inlineStr">
        <is>
          <t>5 mg comp.x 30</t>
        </is>
      </c>
      <c r="E29" s="2" t="n">
        <v>15297.94</v>
      </c>
      <c r="F29" s="2" t="n">
        <v>15741.58</v>
      </c>
      <c r="G29" s="2">
        <f>IFERROR(F29/30,"")</f>
        <v/>
      </c>
      <c r="H29" s="6">
        <f>IFERROR((F29-E29)/E29,"")</f>
        <v/>
      </c>
      <c r="I29" s="6">
        <f>IFERROR((G29-G19)/G19,"")</f>
        <v/>
      </c>
      <c r="J29" s="6">
        <f>IFERROR((G29-G3)/G3,"")</f>
        <v/>
      </c>
      <c r="K29" s="3" t="n"/>
      <c r="L29" s="6">
        <f>IFERROR(K29/SUM($K$3:$K$32),"")</f>
        <v/>
      </c>
      <c r="M29" s="8" t="n">
        <v>27</v>
      </c>
    </row>
    <row r="30">
      <c r="A30" t="inlineStr">
        <is>
          <t>Lepetit</t>
        </is>
      </c>
      <c r="B30" t="inlineStr">
        <is>
          <t>ROSUVASTATINA ROSUX</t>
        </is>
      </c>
      <c r="C30" t="inlineStr">
        <is>
          <t>5 mg</t>
        </is>
      </c>
      <c r="D30" t="inlineStr">
        <is>
          <t>5 mg comp.x 30</t>
        </is>
      </c>
      <c r="E30" s="2" t="n">
        <v>13790</v>
      </c>
      <c r="F30" s="2" t="n">
        <v>15720</v>
      </c>
      <c r="G30" s="2">
        <f>IFERROR(F30/30,"")</f>
        <v/>
      </c>
      <c r="H30" s="6">
        <f>IFERROR((F30-E30)/E30,"")</f>
        <v/>
      </c>
      <c r="I30" s="6">
        <f>IFERROR((G30-G19)/G19,"")</f>
        <v/>
      </c>
      <c r="J30" s="6">
        <f>IFERROR((G30-G3)/G3,"")</f>
        <v/>
      </c>
      <c r="K30" s="3" t="n"/>
      <c r="L30" s="6">
        <f>IFERROR(K30/SUM($K$3:$K$32),"")</f>
        <v/>
      </c>
      <c r="M30" s="8" t="n">
        <v>28</v>
      </c>
    </row>
    <row r="31">
      <c r="A31" t="inlineStr">
        <is>
          <t>Sidus</t>
        </is>
      </c>
      <c r="B31" t="inlineStr">
        <is>
          <t>PARASUL</t>
        </is>
      </c>
      <c r="C31" t="inlineStr">
        <is>
          <t>5 mg</t>
        </is>
      </c>
      <c r="D31" t="inlineStr">
        <is>
          <t>5 mg comp.x 28</t>
        </is>
      </c>
      <c r="E31" s="2" t="n">
        <v>28508.2</v>
      </c>
      <c r="F31" s="2" t="n">
        <v>28508.2</v>
      </c>
      <c r="G31" s="2">
        <f>IFERROR(F31/28,"")</f>
        <v/>
      </c>
      <c r="H31" s="6">
        <f>IFERROR((F31-E31)/E31,"")</f>
        <v/>
      </c>
      <c r="I31" s="6">
        <f>IFERROR((G31-G19)/G19,"")</f>
        <v/>
      </c>
      <c r="J31" s="6">
        <f>IFERROR((G31-G3)/G3,"")</f>
        <v/>
      </c>
      <c r="K31" s="3" t="n"/>
      <c r="L31" s="6">
        <f>IFERROR(K31/SUM($K$3:$K$32),"")</f>
        <v/>
      </c>
      <c r="M31" s="8" t="n">
        <v>29</v>
      </c>
    </row>
    <row r="32">
      <c r="A32" t="inlineStr">
        <is>
          <t>Temis-Lostaló</t>
        </is>
      </c>
      <c r="B32" t="inlineStr">
        <is>
          <t>NODIS 5</t>
        </is>
      </c>
      <c r="C32" t="inlineStr">
        <is>
          <t>5 mg</t>
        </is>
      </c>
      <c r="D32" t="inlineStr">
        <is>
          <t>5 mg comp.rec.x 30</t>
        </is>
      </c>
      <c r="E32" s="2" t="n">
        <v>15454.58</v>
      </c>
      <c r="F32" s="2" t="n">
        <v>15902.19</v>
      </c>
      <c r="G32" s="2">
        <f>IFERROR(F32/30,"")</f>
        <v/>
      </c>
      <c r="H32" s="6">
        <f>IFERROR((F32-E32)/E32,"")</f>
        <v/>
      </c>
      <c r="I32" s="6">
        <f>IFERROR((G32-G19)/G19,"")</f>
        <v/>
      </c>
      <c r="J32" s="6">
        <f>IFERROR((G32-G3)/G3,"")</f>
        <v/>
      </c>
      <c r="K32" s="3" t="n"/>
      <c r="L32" s="6">
        <f>IFERROR(K32/SUM($K$3:$K$32),"")</f>
        <v/>
      </c>
      <c r="M32" s="8" t="n">
        <v>30</v>
      </c>
    </row>
    <row r="34" ht="20" customHeight="1">
      <c r="A34" s="5" t="inlineStr">
        <is>
          <t>Dosis: 10 mg — rosuvastatina</t>
        </is>
      </c>
    </row>
    <row r="35">
      <c r="A35" t="inlineStr">
        <is>
          <t>Roemmers</t>
        </is>
      </c>
      <c r="B35" t="inlineStr">
        <is>
          <t>ROVARTAL</t>
        </is>
      </c>
      <c r="C35" t="inlineStr">
        <is>
          <t>10 mg</t>
        </is>
      </c>
      <c r="D35" t="inlineStr">
        <is>
          <t>10 mg comp.rec.x 30</t>
        </is>
      </c>
      <c r="E35" s="2" t="n">
        <v>25707</v>
      </c>
      <c r="F35" s="2" t="n">
        <v>26453</v>
      </c>
      <c r="G35" s="2">
        <f>IFERROR(F35/30,"")</f>
        <v/>
      </c>
      <c r="H35" s="6">
        <f>IFERROR((F35-E35)/E35,"")</f>
        <v/>
      </c>
      <c r="I35" s="6">
        <f>IFERROR((G35-G47)/G47,"")</f>
        <v/>
      </c>
      <c r="J35" s="7" t="inlineStr">
        <is>
          <t>Líder</t>
        </is>
      </c>
      <c r="K35" s="3" t="n">
        <v>1055478</v>
      </c>
      <c r="L35" s="6">
        <f>IFERROR(K35/SUM($K$35:$K$85),"")</f>
        <v/>
      </c>
      <c r="M35" s="8" t="n">
        <v>1</v>
      </c>
    </row>
    <row r="36">
      <c r="A36" t="inlineStr">
        <is>
          <t>Gador</t>
        </is>
      </c>
      <c r="B36" t="inlineStr">
        <is>
          <t>SINLIP</t>
        </is>
      </c>
      <c r="C36" t="inlineStr">
        <is>
          <t>10 mg</t>
        </is>
      </c>
      <c r="D36" t="inlineStr">
        <is>
          <t>10 mg comp.rec.x 30</t>
        </is>
      </c>
      <c r="E36" s="2" t="n">
        <v>24123.22</v>
      </c>
      <c r="F36" s="2" t="n">
        <v>24726.29</v>
      </c>
      <c r="G36" s="2">
        <f>IFERROR(F36/30,"")</f>
        <v/>
      </c>
      <c r="H36" s="6">
        <f>IFERROR((F36-E36)/E36,"")</f>
        <v/>
      </c>
      <c r="I36" s="6">
        <f>IFERROR((G36-G47)/G47,"")</f>
        <v/>
      </c>
      <c r="J36" s="6">
        <f>IFERROR((G36-G35)/G35,"")</f>
        <v/>
      </c>
      <c r="K36" s="3" t="n">
        <v>905531</v>
      </c>
      <c r="L36" s="6">
        <f>IFERROR(K36/SUM($K$35:$K$85),"")</f>
        <v/>
      </c>
      <c r="M36" s="8" t="n">
        <v>2</v>
      </c>
    </row>
    <row r="37">
      <c r="A37" t="inlineStr">
        <is>
          <t>Baliarda</t>
        </is>
      </c>
      <c r="B37" t="inlineStr">
        <is>
          <t>REOVEX 10</t>
        </is>
      </c>
      <c r="C37" t="inlineStr">
        <is>
          <t>10 mg</t>
        </is>
      </c>
      <c r="D37" t="inlineStr">
        <is>
          <t>10 mg comp.rec.ran.x 30</t>
        </is>
      </c>
      <c r="E37" s="2" t="n">
        <v>23467.13</v>
      </c>
      <c r="F37" s="2" t="n">
        <v>24147.68</v>
      </c>
      <c r="G37" s="2">
        <f>IFERROR(F37/30,"")</f>
        <v/>
      </c>
      <c r="H37" s="6">
        <f>IFERROR((F37-E37)/E37,"")</f>
        <v/>
      </c>
      <c r="I37" s="6">
        <f>IFERROR((G37-G47)/G47,"")</f>
        <v/>
      </c>
      <c r="J37" s="6">
        <f>IFERROR((G37-G35)/G35,"")</f>
        <v/>
      </c>
      <c r="K37" s="3" t="n">
        <v>410658</v>
      </c>
      <c r="L37" s="6">
        <f>IFERROR(K37/SUM($K$35:$K$85),"")</f>
        <v/>
      </c>
      <c r="M37" s="8" t="n">
        <v>3</v>
      </c>
    </row>
    <row r="38">
      <c r="A38" t="inlineStr">
        <is>
          <t>Bagó</t>
        </is>
      </c>
      <c r="B38" t="inlineStr">
        <is>
          <t>ROSUVAST 10</t>
        </is>
      </c>
      <c r="C38" t="inlineStr">
        <is>
          <t>10 mg</t>
        </is>
      </c>
      <c r="D38" t="inlineStr">
        <is>
          <t>10 mg comp.x 30</t>
        </is>
      </c>
      <c r="E38" s="2" t="n">
        <v>25784.21</v>
      </c>
      <c r="F38" s="2" t="n">
        <v>26359.2</v>
      </c>
      <c r="G38" s="2">
        <f>IFERROR(F38/30,"")</f>
        <v/>
      </c>
      <c r="H38" s="6">
        <f>IFERROR((F38-E38)/E38,"")</f>
        <v/>
      </c>
      <c r="I38" s="6">
        <f>IFERROR((G38-G47)/G47,"")</f>
        <v/>
      </c>
      <c r="J38" s="6">
        <f>IFERROR((G38-G35)/G35,"")</f>
        <v/>
      </c>
      <c r="K38" s="3" t="n">
        <v>382687</v>
      </c>
      <c r="L38" s="6">
        <f>IFERROR(K38/SUM($K$35:$K$85),"")</f>
        <v/>
      </c>
      <c r="M38" s="8" t="n">
        <v>4</v>
      </c>
    </row>
    <row r="39">
      <c r="A39" t="inlineStr">
        <is>
          <t>Casasco</t>
        </is>
      </c>
      <c r="B39" t="inlineStr">
        <is>
          <t>HIPOLIPOL</t>
        </is>
      </c>
      <c r="C39" t="inlineStr">
        <is>
          <t>10 mg</t>
        </is>
      </c>
      <c r="D39" t="inlineStr">
        <is>
          <t>10 mg comp.rec.x 30</t>
        </is>
      </c>
      <c r="E39" s="2" t="n">
        <v>23346.43</v>
      </c>
      <c r="F39" s="2" t="n">
        <v>24023.47</v>
      </c>
      <c r="G39" s="2">
        <f>IFERROR(F39/30,"")</f>
        <v/>
      </c>
      <c r="H39" s="6">
        <f>IFERROR((F39-E39)/E39,"")</f>
        <v/>
      </c>
      <c r="I39" s="6">
        <f>IFERROR((G39-G47)/G47,"")</f>
        <v/>
      </c>
      <c r="J39" s="6">
        <f>IFERROR((G39-G35)/G35,"")</f>
        <v/>
      </c>
      <c r="K39" s="3" t="n">
        <v>304025</v>
      </c>
      <c r="L39" s="6">
        <f>IFERROR(K39/SUM($K$35:$K$85),"")</f>
        <v/>
      </c>
      <c r="M39" s="8" t="n">
        <v>5</v>
      </c>
    </row>
    <row r="40">
      <c r="A40" t="inlineStr">
        <is>
          <t>Elea</t>
        </is>
      </c>
      <c r="B40" t="inlineStr">
        <is>
          <t>LIPEX</t>
        </is>
      </c>
      <c r="C40" t="inlineStr">
        <is>
          <t>10 mg</t>
        </is>
      </c>
      <c r="D40" t="inlineStr">
        <is>
          <t>10 mg comp.x 28</t>
        </is>
      </c>
      <c r="E40" s="2" t="n">
        <v>24326.91</v>
      </c>
      <c r="F40" s="2" t="n">
        <v>25808.33</v>
      </c>
      <c r="G40" s="2">
        <f>IFERROR(F40/28,"")</f>
        <v/>
      </c>
      <c r="H40" s="6">
        <f>IFERROR((F40-E40)/E40,"")</f>
        <v/>
      </c>
      <c r="I40" s="6">
        <f>IFERROR((G40-G47)/G47,"")</f>
        <v/>
      </c>
      <c r="J40" s="6">
        <f>IFERROR((G40-G35)/G35,"")</f>
        <v/>
      </c>
      <c r="K40" s="3" t="n">
        <v>260497</v>
      </c>
      <c r="L40" s="6">
        <f>IFERROR(K40/SUM($K$35:$K$85),"")</f>
        <v/>
      </c>
      <c r="M40" s="8" t="n">
        <v>6</v>
      </c>
    </row>
    <row r="41">
      <c r="A41" t="inlineStr">
        <is>
          <t>Elea</t>
        </is>
      </c>
      <c r="B41" t="inlineStr">
        <is>
          <t>LIPEX</t>
        </is>
      </c>
      <c r="C41" t="inlineStr">
        <is>
          <t>10 mg</t>
        </is>
      </c>
      <c r="D41" t="inlineStr">
        <is>
          <t>10 mg comp.x 30</t>
        </is>
      </c>
      <c r="E41" s="2" t="n">
        <v>26234.09</v>
      </c>
      <c r="F41" s="2" t="n">
        <v>27831.64</v>
      </c>
      <c r="G41" s="2">
        <f>IFERROR(F41/30,"")</f>
        <v/>
      </c>
      <c r="H41" s="6">
        <f>IFERROR((F41-E41)/E41,"")</f>
        <v/>
      </c>
      <c r="I41" s="6">
        <f>IFERROR((G41-G47)/G47,"")</f>
        <v/>
      </c>
      <c r="J41" s="6">
        <f>IFERROR((G41-G35)/G35,"")</f>
        <v/>
      </c>
      <c r="K41" s="3" t="n">
        <v>260497</v>
      </c>
      <c r="L41" s="6">
        <f>IFERROR(K41/SUM($K$35:$K$85),"")</f>
        <v/>
      </c>
      <c r="M41" s="8" t="n">
        <v>7</v>
      </c>
    </row>
    <row r="42">
      <c r="A42" t="inlineStr">
        <is>
          <t>Gador</t>
        </is>
      </c>
      <c r="B42" t="inlineStr">
        <is>
          <t>SINLIP</t>
        </is>
      </c>
      <c r="C42" t="inlineStr">
        <is>
          <t>10 mg</t>
        </is>
      </c>
      <c r="D42" t="inlineStr">
        <is>
          <t>10 mg comp.rec.x 60</t>
        </is>
      </c>
      <c r="E42" s="2" t="n">
        <v>47583.11</v>
      </c>
      <c r="F42" s="2" t="n">
        <v>48772.7</v>
      </c>
      <c r="G42" s="2">
        <f>IFERROR(F42/60,"")</f>
        <v/>
      </c>
      <c r="H42" s="6">
        <f>IFERROR((F42-E42)/E42,"")</f>
        <v/>
      </c>
      <c r="I42" s="6">
        <f>IFERROR((G42-G47)/G47,"")</f>
        <v/>
      </c>
      <c r="J42" s="6">
        <f>IFERROR((G42-G35)/G35,"")</f>
        <v/>
      </c>
      <c r="K42" s="3" t="n">
        <v>187372</v>
      </c>
      <c r="L42" s="6">
        <f>IFERROR(K42/SUM($K$35:$K$85),"")</f>
        <v/>
      </c>
      <c r="M42" s="8" t="n">
        <v>8</v>
      </c>
    </row>
    <row r="43">
      <c r="A43" t="inlineStr">
        <is>
          <t>Nolter</t>
        </is>
      </c>
      <c r="B43" t="inlineStr">
        <is>
          <t>ROSUFEN</t>
        </is>
      </c>
      <c r="C43" t="inlineStr">
        <is>
          <t>10 mg</t>
        </is>
      </c>
      <c r="D43" t="inlineStr">
        <is>
          <t>10 mg comp.rec.x 30</t>
        </is>
      </c>
      <c r="E43" s="2" t="n">
        <v>25093.71</v>
      </c>
      <c r="F43" s="2" t="n">
        <v>26570.22</v>
      </c>
      <c r="G43" s="2">
        <f>IFERROR(F43/30,"")</f>
        <v/>
      </c>
      <c r="H43" s="6">
        <f>IFERROR((F43-E43)/E43,"")</f>
        <v/>
      </c>
      <c r="I43" s="6">
        <f>IFERROR((G43-G47)/G47,"")</f>
        <v/>
      </c>
      <c r="J43" s="6">
        <f>IFERROR((G43-G35)/G35,"")</f>
        <v/>
      </c>
      <c r="K43" s="3" t="n">
        <v>157194</v>
      </c>
      <c r="L43" s="6">
        <f>IFERROR(K43/SUM($K$35:$K$85),"")</f>
        <v/>
      </c>
      <c r="M43" s="8" t="n">
        <v>9</v>
      </c>
    </row>
    <row r="44">
      <c r="A44" t="inlineStr">
        <is>
          <t>Bagó</t>
        </is>
      </c>
      <c r="B44" t="inlineStr">
        <is>
          <t>ROSUVAST 10</t>
        </is>
      </c>
      <c r="C44" t="inlineStr">
        <is>
          <t>10 mg</t>
        </is>
      </c>
      <c r="D44" t="inlineStr">
        <is>
          <t>10 mg comp.x 28</t>
        </is>
      </c>
      <c r="E44" s="2" t="n">
        <v>26260.85</v>
      </c>
      <c r="F44" s="2" t="n">
        <v>26933.12</v>
      </c>
      <c r="G44" s="2">
        <f>IFERROR(F44/28,"")</f>
        <v/>
      </c>
      <c r="H44" s="6">
        <f>IFERROR((F44-E44)/E44,"")</f>
        <v/>
      </c>
      <c r="I44" s="6">
        <f>IFERROR((G44-G47)/G47,"")</f>
        <v/>
      </c>
      <c r="J44" s="6">
        <f>IFERROR((G44-G35)/G35,"")</f>
        <v/>
      </c>
      <c r="K44" s="3" t="n">
        <v>154491</v>
      </c>
      <c r="L44" s="6">
        <f>IFERROR(K44/SUM($K$35:$K$85),"")</f>
        <v/>
      </c>
      <c r="M44" s="8" t="n">
        <v>10</v>
      </c>
    </row>
    <row r="45">
      <c r="A45" t="inlineStr">
        <is>
          <t>Montpellier</t>
        </is>
      </c>
      <c r="B45" t="inlineStr">
        <is>
          <t>ROSUSTATIN</t>
        </is>
      </c>
      <c r="C45" t="inlineStr">
        <is>
          <t>10 mg</t>
        </is>
      </c>
      <c r="D45" t="inlineStr">
        <is>
          <t>10 mg comp.x 30</t>
        </is>
      </c>
      <c r="E45" s="2" t="n">
        <v>23470.28</v>
      </c>
      <c r="F45" s="2" t="n">
        <v>23470.28</v>
      </c>
      <c r="G45" s="2">
        <f>IFERROR(F45/30,"")</f>
        <v/>
      </c>
      <c r="H45" s="6">
        <f>IFERROR((F45-E45)/E45,"")</f>
        <v/>
      </c>
      <c r="I45" s="6">
        <f>IFERROR((G45-G47)/G47,"")</f>
        <v/>
      </c>
      <c r="J45" s="6">
        <f>IFERROR((G45-G35)/G35,"")</f>
        <v/>
      </c>
      <c r="K45" s="3" t="n">
        <v>123745</v>
      </c>
      <c r="L45" s="6">
        <f>IFERROR(K45/SUM($K$35:$K$85),"")</f>
        <v/>
      </c>
      <c r="M45" s="8" t="n">
        <v>11</v>
      </c>
    </row>
    <row r="46">
      <c r="A46" t="inlineStr">
        <is>
          <t>Fecofar</t>
        </is>
      </c>
      <c r="B46" t="inlineStr">
        <is>
          <t>ROSUFEC 10</t>
        </is>
      </c>
      <c r="C46" t="inlineStr">
        <is>
          <t>10 mg</t>
        </is>
      </c>
      <c r="D46" t="inlineStr">
        <is>
          <t>10 mg comp.x 30</t>
        </is>
      </c>
      <c r="E46" s="2" t="n">
        <v>18418.89</v>
      </c>
      <c r="F46" s="2" t="n">
        <v>18879.35</v>
      </c>
      <c r="G46" s="2">
        <f>IFERROR(F46/30,"")</f>
        <v/>
      </c>
      <c r="H46" s="6">
        <f>IFERROR((F46-E46)/E46,"")</f>
        <v/>
      </c>
      <c r="I46" s="6">
        <f>IFERROR((G46-G47)/G47,"")</f>
        <v/>
      </c>
      <c r="J46" s="6">
        <f>IFERROR((G46-G35)/G35,"")</f>
        <v/>
      </c>
      <c r="K46" s="3" t="n">
        <v>117674</v>
      </c>
      <c r="L46" s="6">
        <f>IFERROR(K46/SUM($K$35:$K$85),"")</f>
        <v/>
      </c>
      <c r="M46" s="8" t="n">
        <v>12</v>
      </c>
    </row>
    <row r="47">
      <c r="A47" s="9" t="inlineStr">
        <is>
          <t>Siegfried ★ SIE</t>
        </is>
      </c>
      <c r="B47" s="9" t="inlineStr">
        <is>
          <t>ROXOLAN</t>
        </is>
      </c>
      <c r="C47" s="9" t="inlineStr">
        <is>
          <t>10 mg</t>
        </is>
      </c>
      <c r="D47" s="9" t="inlineStr">
        <is>
          <t>10 mg comp.rec.x 30</t>
        </is>
      </c>
      <c r="E47" s="10" t="n">
        <v>23998.53</v>
      </c>
      <c r="F47" s="10" t="n">
        <v>23998.53</v>
      </c>
      <c r="G47" s="10">
        <f>IFERROR(F47/30,"")</f>
        <v/>
      </c>
      <c r="H47" s="11" t="n"/>
      <c r="I47" s="11" t="n"/>
      <c r="J47" s="11">
        <f>IFERROR((G47-G35)/G35,"")</f>
        <v/>
      </c>
      <c r="K47" s="12" t="n">
        <v>110616</v>
      </c>
      <c r="L47" s="11">
        <f>IFERROR(K47/SUM($K$35:$K$85),"")</f>
        <v/>
      </c>
      <c r="M47" s="13" t="n">
        <v>13</v>
      </c>
    </row>
    <row r="48">
      <c r="A48" t="inlineStr">
        <is>
          <t>Beta</t>
        </is>
      </c>
      <c r="B48" t="inlineStr">
        <is>
          <t>ATERONOVA</t>
        </is>
      </c>
      <c r="C48" t="inlineStr">
        <is>
          <t>10 mg</t>
        </is>
      </c>
      <c r="D48" t="inlineStr">
        <is>
          <t>10 mg comp.x 30</t>
        </is>
      </c>
      <c r="E48" s="2" t="n">
        <v>23006.6</v>
      </c>
      <c r="F48" s="2" t="n">
        <v>24478.69</v>
      </c>
      <c r="G48" s="2">
        <f>IFERROR(F48/30,"")</f>
        <v/>
      </c>
      <c r="H48" s="6">
        <f>IFERROR((F48-E48)/E48,"")</f>
        <v/>
      </c>
      <c r="I48" s="6">
        <f>IFERROR((G48-G47)/G47,"")</f>
        <v/>
      </c>
      <c r="J48" s="6">
        <f>IFERROR((G48-G35)/G35,"")</f>
        <v/>
      </c>
      <c r="K48" s="3" t="n">
        <v>100069</v>
      </c>
      <c r="L48" s="6">
        <f>IFERROR(K48/SUM($K$35:$K$85),"")</f>
        <v/>
      </c>
      <c r="M48" s="8" t="n">
        <v>14</v>
      </c>
    </row>
    <row r="49">
      <c r="A49" t="inlineStr">
        <is>
          <t>AstraZeneca</t>
        </is>
      </c>
      <c r="B49" t="inlineStr">
        <is>
          <t>CRESTOR</t>
        </is>
      </c>
      <c r="C49" t="inlineStr">
        <is>
          <t>10 mg</t>
        </is>
      </c>
      <c r="D49" t="inlineStr">
        <is>
          <t>10 mg comp.x 28</t>
        </is>
      </c>
      <c r="E49" s="2" t="n">
        <v>38640.2</v>
      </c>
      <c r="F49" s="2" t="n">
        <v>40595.4</v>
      </c>
      <c r="G49" s="2">
        <f>IFERROR(F49/28,"")</f>
        <v/>
      </c>
      <c r="H49" s="6">
        <f>IFERROR((F49-E49)/E49,"")</f>
        <v/>
      </c>
      <c r="I49" s="6">
        <f>IFERROR((G49-G47)/G47,"")</f>
        <v/>
      </c>
      <c r="J49" s="6">
        <f>IFERROR((G49-G35)/G35,"")</f>
        <v/>
      </c>
      <c r="K49" s="3" t="n">
        <v>89655</v>
      </c>
      <c r="L49" s="6">
        <f>IFERROR(K49/SUM($K$35:$K$85),"")</f>
        <v/>
      </c>
      <c r="M49" s="8" t="n">
        <v>15</v>
      </c>
    </row>
    <row r="50">
      <c r="A50" t="inlineStr">
        <is>
          <t>Roemmers</t>
        </is>
      </c>
      <c r="B50" t="inlineStr">
        <is>
          <t>ROVARTAL</t>
        </is>
      </c>
      <c r="C50" t="inlineStr">
        <is>
          <t>10 mg</t>
        </is>
      </c>
      <c r="D50" t="inlineStr">
        <is>
          <t>10 mg comp.rec.x 60</t>
        </is>
      </c>
      <c r="E50" s="2" t="n">
        <v>49685</v>
      </c>
      <c r="F50" s="2" t="n">
        <v>51126</v>
      </c>
      <c r="G50" s="2">
        <f>IFERROR(F50/60,"")</f>
        <v/>
      </c>
      <c r="H50" s="6">
        <f>IFERROR((F50-E50)/E50,"")</f>
        <v/>
      </c>
      <c r="I50" s="6">
        <f>IFERROR((G50-G47)/G47,"")</f>
        <v/>
      </c>
      <c r="J50" s="6">
        <f>IFERROR((G50-G35)/G35,"")</f>
        <v/>
      </c>
      <c r="K50" s="3" t="n">
        <v>84025</v>
      </c>
      <c r="L50" s="6">
        <f>IFERROR(K50/SUM($K$35:$K$85),"")</f>
        <v/>
      </c>
      <c r="M50" s="8" t="n">
        <v>16</v>
      </c>
    </row>
    <row r="51">
      <c r="A51" t="inlineStr">
        <is>
          <t>Lepetit</t>
        </is>
      </c>
      <c r="B51" t="inlineStr">
        <is>
          <t>ROSUX</t>
        </is>
      </c>
      <c r="C51" t="inlineStr">
        <is>
          <t>10 mg</t>
        </is>
      </c>
      <c r="D51" t="inlineStr">
        <is>
          <t>10 mg comp.x 30</t>
        </is>
      </c>
      <c r="E51" s="2" t="n">
        <v>20980</v>
      </c>
      <c r="F51" s="2" t="n">
        <v>23920</v>
      </c>
      <c r="G51" s="2">
        <f>IFERROR(F51/30,"")</f>
        <v/>
      </c>
      <c r="H51" s="6">
        <f>IFERROR((F51-E51)/E51,"")</f>
        <v/>
      </c>
      <c r="I51" s="6">
        <f>IFERROR((G51-G47)/G47,"")</f>
        <v/>
      </c>
      <c r="J51" s="6">
        <f>IFERROR((G51-G35)/G35,"")</f>
        <v/>
      </c>
      <c r="K51" s="3" t="n">
        <v>75997</v>
      </c>
      <c r="L51" s="6">
        <f>IFERROR(K51/SUM($K$35:$K$85),"")</f>
        <v/>
      </c>
      <c r="M51" s="8" t="n">
        <v>17</v>
      </c>
    </row>
    <row r="52">
      <c r="A52" t="inlineStr">
        <is>
          <t>Teva Argentina</t>
        </is>
      </c>
      <c r="B52" t="inlineStr">
        <is>
          <t>ARTOMEY</t>
        </is>
      </c>
      <c r="C52" t="inlineStr">
        <is>
          <t>10 mg</t>
        </is>
      </c>
      <c r="D52" t="inlineStr">
        <is>
          <t>10 mg comp.x 30</t>
        </is>
      </c>
      <c r="E52" s="2" t="n">
        <v>26870.2</v>
      </c>
      <c r="F52" s="2" t="n">
        <v>28478.92</v>
      </c>
      <c r="G52" s="2">
        <f>IFERROR(F52/30,"")</f>
        <v/>
      </c>
      <c r="H52" s="6">
        <f>IFERROR((F52-E52)/E52,"")</f>
        <v/>
      </c>
      <c r="I52" s="6">
        <f>IFERROR((G52-G47)/G47,"")</f>
        <v/>
      </c>
      <c r="J52" s="6">
        <f>IFERROR((G52-G35)/G35,"")</f>
        <v/>
      </c>
      <c r="K52" s="3" t="n">
        <v>60817</v>
      </c>
      <c r="L52" s="6">
        <f>IFERROR(K52/SUM($K$35:$K$85),"")</f>
        <v/>
      </c>
      <c r="M52" s="8" t="n">
        <v>18</v>
      </c>
    </row>
    <row r="53">
      <c r="A53" t="inlineStr">
        <is>
          <t>Finadiet</t>
        </is>
      </c>
      <c r="B53" t="inlineStr">
        <is>
          <t>MESOTEROL 10</t>
        </is>
      </c>
      <c r="C53" t="inlineStr">
        <is>
          <t>10 mg</t>
        </is>
      </c>
      <c r="D53" t="inlineStr">
        <is>
          <t>10 mg comp.rec.x 30</t>
        </is>
      </c>
      <c r="E53" s="2" t="n">
        <v>21753.78</v>
      </c>
      <c r="F53" s="2" t="n">
        <v>23298.3</v>
      </c>
      <c r="G53" s="2">
        <f>IFERROR(F53/30,"")</f>
        <v/>
      </c>
      <c r="H53" s="6">
        <f>IFERROR((F53-E53)/E53,"")</f>
        <v/>
      </c>
      <c r="I53" s="6">
        <f>IFERROR((G53-G47)/G47,"")</f>
        <v/>
      </c>
      <c r="J53" s="6">
        <f>IFERROR((G53-G35)/G35,"")</f>
        <v/>
      </c>
      <c r="K53" s="3" t="n">
        <v>50517</v>
      </c>
      <c r="L53" s="6">
        <f>IFERROR(K53/SUM($K$35:$K$85),"")</f>
        <v/>
      </c>
      <c r="M53" s="8" t="n">
        <v>19</v>
      </c>
    </row>
    <row r="54">
      <c r="A54" t="inlineStr">
        <is>
          <t>Bagó</t>
        </is>
      </c>
      <c r="B54" t="inlineStr">
        <is>
          <t>ROSUVAST 10</t>
        </is>
      </c>
      <c r="C54" t="inlineStr">
        <is>
          <t>10 mg</t>
        </is>
      </c>
      <c r="D54" t="inlineStr">
        <is>
          <t>10 mg comp.x 60</t>
        </is>
      </c>
      <c r="E54" s="2" t="n">
        <v>49839.59</v>
      </c>
      <c r="F54" s="2" t="n">
        <v>50951.02</v>
      </c>
      <c r="G54" s="2">
        <f>IFERROR(F54/60,"")</f>
        <v/>
      </c>
      <c r="H54" s="6">
        <f>IFERROR((F54-E54)/E54,"")</f>
        <v/>
      </c>
      <c r="I54" s="6">
        <f>IFERROR((G54-G47)/G47,"")</f>
        <v/>
      </c>
      <c r="J54" s="6">
        <f>IFERROR((G54-G35)/G35,"")</f>
        <v/>
      </c>
      <c r="K54" s="3" t="n">
        <v>46654</v>
      </c>
      <c r="L54" s="6">
        <f>IFERROR(K54/SUM($K$35:$K$85),"")</f>
        <v/>
      </c>
      <c r="M54" s="8" t="n">
        <v>20</v>
      </c>
    </row>
    <row r="55">
      <c r="A55" t="inlineStr">
        <is>
          <t>Casasco</t>
        </is>
      </c>
      <c r="B55" t="inlineStr">
        <is>
          <t>HIPOLIPOL</t>
        </is>
      </c>
      <c r="C55" t="inlineStr">
        <is>
          <t>10 mg</t>
        </is>
      </c>
      <c r="D55" t="inlineStr">
        <is>
          <t>10 mg comp.rec.x 28</t>
        </is>
      </c>
      <c r="E55" s="2" t="n">
        <v>22730.86</v>
      </c>
      <c r="F55" s="2" t="n">
        <v>23390.06</v>
      </c>
      <c r="G55" s="2">
        <f>IFERROR(F55/28,"")</f>
        <v/>
      </c>
      <c r="H55" s="6">
        <f>IFERROR((F55-E55)/E55,"")</f>
        <v/>
      </c>
      <c r="I55" s="6">
        <f>IFERROR((G55-G47)/G47,"")</f>
        <v/>
      </c>
      <c r="J55" s="6">
        <f>IFERROR((G55-G35)/G35,"")</f>
        <v/>
      </c>
      <c r="K55" s="3" t="n">
        <v>44561</v>
      </c>
      <c r="L55" s="6">
        <f>IFERROR(K55/SUM($K$35:$K$85),"")</f>
        <v/>
      </c>
      <c r="M55" s="8" t="n">
        <v>21</v>
      </c>
    </row>
    <row r="56">
      <c r="A56" t="inlineStr">
        <is>
          <t>Richmond</t>
        </is>
      </c>
      <c r="B56" t="inlineStr">
        <is>
          <t>BILIP 10</t>
        </is>
      </c>
      <c r="C56" t="inlineStr">
        <is>
          <t>10 mg</t>
        </is>
      </c>
      <c r="D56" t="inlineStr">
        <is>
          <t>10 mg comp.x 30</t>
        </is>
      </c>
      <c r="E56" s="2" t="n">
        <v>28352.45</v>
      </c>
      <c r="F56" s="2" t="n">
        <v>29203.02</v>
      </c>
      <c r="G56" s="2">
        <f>IFERROR(F56/30,"")</f>
        <v/>
      </c>
      <c r="H56" s="6">
        <f>IFERROR((F56-E56)/E56,"")</f>
        <v/>
      </c>
      <c r="I56" s="6">
        <f>IFERROR((G56-G47)/G47,"")</f>
        <v/>
      </c>
      <c r="J56" s="6">
        <f>IFERROR((G56-G35)/G35,"")</f>
        <v/>
      </c>
      <c r="K56" s="3" t="n">
        <v>42247</v>
      </c>
      <c r="L56" s="6">
        <f>IFERROR(K56/SUM($K$35:$K$85),"")</f>
        <v/>
      </c>
      <c r="M56" s="8" t="n">
        <v>22</v>
      </c>
    </row>
    <row r="57">
      <c r="A57" t="inlineStr">
        <is>
          <t>Lazar</t>
        </is>
      </c>
      <c r="B57" t="inlineStr">
        <is>
          <t>ASTENDE</t>
        </is>
      </c>
      <c r="C57" t="inlineStr">
        <is>
          <t>10 mg</t>
        </is>
      </c>
      <c r="D57" t="inlineStr">
        <is>
          <t>10 mg comp.rec.x 30</t>
        </is>
      </c>
      <c r="E57" s="2" t="n">
        <v>22538.03</v>
      </c>
      <c r="F57" s="2" t="n">
        <v>23980.14</v>
      </c>
      <c r="G57" s="2">
        <f>IFERROR(F57/30,"")</f>
        <v/>
      </c>
      <c r="H57" s="6">
        <f>IFERROR((F57-E57)/E57,"")</f>
        <v/>
      </c>
      <c r="I57" s="6">
        <f>IFERROR((G57-G47)/G47,"")</f>
        <v/>
      </c>
      <c r="J57" s="6">
        <f>IFERROR((G57-G35)/G35,"")</f>
        <v/>
      </c>
      <c r="K57" s="3" t="n">
        <v>37747</v>
      </c>
      <c r="L57" s="6">
        <f>IFERROR(K57/SUM($K$35:$K$85),"")</f>
        <v/>
      </c>
      <c r="M57" s="8" t="n">
        <v>23</v>
      </c>
    </row>
    <row r="58">
      <c r="A58" t="inlineStr">
        <is>
          <t>Eczane</t>
        </is>
      </c>
      <c r="B58" t="inlineStr">
        <is>
          <t>ROVASTANE</t>
        </is>
      </c>
      <c r="C58" t="inlineStr">
        <is>
          <t>10 mg</t>
        </is>
      </c>
      <c r="D58" t="inlineStr">
        <is>
          <t>10 mg comp.rec.x 30</t>
        </is>
      </c>
      <c r="E58" s="2" t="n">
        <v>13887.77</v>
      </c>
      <c r="F58" s="2" t="n">
        <v>14704.95</v>
      </c>
      <c r="G58" s="2">
        <f>IFERROR(F58/30,"")</f>
        <v/>
      </c>
      <c r="H58" s="6">
        <f>IFERROR((F58-E58)/E58,"")</f>
        <v/>
      </c>
      <c r="I58" s="6">
        <f>IFERROR((G58-G47)/G47,"")</f>
        <v/>
      </c>
      <c r="J58" s="6">
        <f>IFERROR((G58-G35)/G35,"")</f>
        <v/>
      </c>
      <c r="K58" s="3" t="n">
        <v>28829</v>
      </c>
      <c r="L58" s="6">
        <f>IFERROR(K58/SUM($K$35:$K$85),"")</f>
        <v/>
      </c>
      <c r="M58" s="8" t="n">
        <v>24</v>
      </c>
    </row>
    <row r="59">
      <c r="A59" t="inlineStr">
        <is>
          <t>Eczane</t>
        </is>
      </c>
      <c r="B59" t="inlineStr">
        <is>
          <t>ROVASTANE</t>
        </is>
      </c>
      <c r="C59" t="inlineStr">
        <is>
          <t>10 mg</t>
        </is>
      </c>
      <c r="D59" t="inlineStr">
        <is>
          <t>10 mg comp.rec.x 500</t>
        </is>
      </c>
      <c r="E59" s="2" t="n">
        <v>185565.89</v>
      </c>
      <c r="F59" s="2" t="n">
        <v>196484.79</v>
      </c>
      <c r="G59" s="2">
        <f>IFERROR(F59/500,"")</f>
        <v/>
      </c>
      <c r="H59" s="6">
        <f>IFERROR((F59-E59)/E59,"")</f>
        <v/>
      </c>
      <c r="I59" s="6">
        <f>IFERROR((G59-G47)/G47,"")</f>
        <v/>
      </c>
      <c r="J59" s="6">
        <f>IFERROR((G59-G35)/G35,"")</f>
        <v/>
      </c>
      <c r="K59" s="3" t="n">
        <v>28829</v>
      </c>
      <c r="L59" s="6">
        <f>IFERROR(K59/SUM($K$35:$K$85),"")</f>
        <v/>
      </c>
      <c r="M59" s="8" t="n">
        <v>25</v>
      </c>
    </row>
    <row r="60">
      <c r="A60" t="inlineStr">
        <is>
          <t>Baliarda</t>
        </is>
      </c>
      <c r="B60" t="inlineStr">
        <is>
          <t>REOVEX 10</t>
        </is>
      </c>
      <c r="C60" t="inlineStr">
        <is>
          <t>10 mg</t>
        </is>
      </c>
      <c r="D60" t="inlineStr">
        <is>
          <t>10 mg comp.rec.ran.x 60</t>
        </is>
      </c>
      <c r="E60" s="2" t="n">
        <v>46056.7</v>
      </c>
      <c r="F60" s="2" t="n">
        <v>47392.34</v>
      </c>
      <c r="G60" s="2">
        <f>IFERROR(F60/60,"")</f>
        <v/>
      </c>
      <c r="H60" s="6">
        <f>IFERROR((F60-E60)/E60,"")</f>
        <v/>
      </c>
      <c r="I60" s="6">
        <f>IFERROR((G60-G47)/G47,"")</f>
        <v/>
      </c>
      <c r="J60" s="6">
        <f>IFERROR((G60-G35)/G35,"")</f>
        <v/>
      </c>
      <c r="K60" s="3" t="n">
        <v>28114</v>
      </c>
      <c r="L60" s="6">
        <f>IFERROR(K60/SUM($K$35:$K$85),"")</f>
        <v/>
      </c>
      <c r="M60" s="8" t="n">
        <v>26</v>
      </c>
    </row>
    <row r="61">
      <c r="A61" t="inlineStr">
        <is>
          <t>AstraZeneca</t>
        </is>
      </c>
      <c r="B61" t="inlineStr">
        <is>
          <t>CRESTOR</t>
        </is>
      </c>
      <c r="C61" t="inlineStr">
        <is>
          <t>10 mg</t>
        </is>
      </c>
      <c r="D61" t="inlineStr">
        <is>
          <t>10 mg comp.x 56</t>
        </is>
      </c>
      <c r="E61" s="2" t="n">
        <v>69686.91</v>
      </c>
      <c r="F61" s="2" t="n">
        <v>72502.25999999999</v>
      </c>
      <c r="G61" s="2">
        <f>IFERROR(F61/56,"")</f>
        <v/>
      </c>
      <c r="H61" s="6">
        <f>IFERROR((F61-E61)/E61,"")</f>
        <v/>
      </c>
      <c r="I61" s="6">
        <f>IFERROR((G61-G47)/G47,"")</f>
        <v/>
      </c>
      <c r="J61" s="6">
        <f>IFERROR((G61-G35)/G35,"")</f>
        <v/>
      </c>
      <c r="K61" s="3" t="n">
        <v>24637</v>
      </c>
      <c r="L61" s="6">
        <f>IFERROR(K61/SUM($K$35:$K$85),"")</f>
        <v/>
      </c>
      <c r="M61" s="8" t="n">
        <v>27</v>
      </c>
    </row>
    <row r="62">
      <c r="A62" t="inlineStr">
        <is>
          <t>Denver Farma</t>
        </is>
      </c>
      <c r="B62" t="inlineStr">
        <is>
          <t>NONLIPID</t>
        </is>
      </c>
      <c r="C62" t="inlineStr">
        <is>
          <t>10 mg</t>
        </is>
      </c>
      <c r="D62" t="inlineStr">
        <is>
          <t>10 mg comp.x 30</t>
        </is>
      </c>
      <c r="E62" s="2" t="n">
        <v>21044.1</v>
      </c>
      <c r="F62" s="2" t="n">
        <v>21529.99</v>
      </c>
      <c r="G62" s="2">
        <f>IFERROR(F62/30,"")</f>
        <v/>
      </c>
      <c r="H62" s="6">
        <f>IFERROR((F62-E62)/E62,"")</f>
        <v/>
      </c>
      <c r="I62" s="6">
        <f>IFERROR((G62-G47)/G47,"")</f>
        <v/>
      </c>
      <c r="J62" s="6">
        <f>IFERROR((G62-G35)/G35,"")</f>
        <v/>
      </c>
      <c r="K62" s="3" t="n">
        <v>24561</v>
      </c>
      <c r="L62" s="6">
        <f>IFERROR(K62/SUM($K$35:$K$85),"")</f>
        <v/>
      </c>
      <c r="M62" s="8" t="n">
        <v>28</v>
      </c>
    </row>
    <row r="63">
      <c r="A63" t="inlineStr">
        <is>
          <t>Bagó</t>
        </is>
      </c>
      <c r="B63" t="inlineStr">
        <is>
          <t>ROSUVAST 10</t>
        </is>
      </c>
      <c r="C63" t="inlineStr">
        <is>
          <t>10 mg</t>
        </is>
      </c>
      <c r="D63" t="inlineStr">
        <is>
          <t>10 mg comp.x 56</t>
        </is>
      </c>
      <c r="E63" s="2" t="n">
        <v>48661.65</v>
      </c>
      <c r="F63" s="2" t="n">
        <v>49746.81</v>
      </c>
      <c r="G63" s="2">
        <f>IFERROR(F63/56,"")</f>
        <v/>
      </c>
      <c r="H63" s="6">
        <f>IFERROR((F63-E63)/E63,"")</f>
        <v/>
      </c>
      <c r="I63" s="6">
        <f>IFERROR((G63-G47)/G47,"")</f>
        <v/>
      </c>
      <c r="J63" s="6">
        <f>IFERROR((G63-G35)/G35,"")</f>
        <v/>
      </c>
      <c r="K63" s="3" t="n">
        <v>23294</v>
      </c>
      <c r="L63" s="6">
        <f>IFERROR(K63/SUM($K$35:$K$85),"")</f>
        <v/>
      </c>
      <c r="M63" s="8" t="n">
        <v>29</v>
      </c>
    </row>
    <row r="64">
      <c r="A64" t="inlineStr">
        <is>
          <t>Casasco</t>
        </is>
      </c>
      <c r="B64" t="inlineStr">
        <is>
          <t>HIPOLIPOL</t>
        </is>
      </c>
      <c r="C64" t="inlineStr">
        <is>
          <t>10 mg</t>
        </is>
      </c>
      <c r="D64" t="inlineStr">
        <is>
          <t>10 mg comp.rec.x 56</t>
        </is>
      </c>
      <c r="E64" s="2" t="n">
        <v>44036.34</v>
      </c>
      <c r="F64" s="2" t="n">
        <v>45313.38</v>
      </c>
      <c r="G64" s="2">
        <f>IFERROR(F64/56,"")</f>
        <v/>
      </c>
      <c r="H64" s="6">
        <f>IFERROR((F64-E64)/E64,"")</f>
        <v/>
      </c>
      <c r="I64" s="6">
        <f>IFERROR((G64-G47)/G47,"")</f>
        <v/>
      </c>
      <c r="J64" s="6">
        <f>IFERROR((G64-G35)/G35,"")</f>
        <v/>
      </c>
      <c r="K64" s="3" t="n">
        <v>22894</v>
      </c>
      <c r="L64" s="6">
        <f>IFERROR(K64/SUM($K$35:$K$85),"")</f>
        <v/>
      </c>
      <c r="M64" s="8" t="n">
        <v>30</v>
      </c>
    </row>
    <row r="65">
      <c r="A65" t="inlineStr">
        <is>
          <t>Montpellier</t>
        </is>
      </c>
      <c r="B65" t="inlineStr">
        <is>
          <t>ROSUSTATIN</t>
        </is>
      </c>
      <c r="C65" t="inlineStr">
        <is>
          <t>10 mg</t>
        </is>
      </c>
      <c r="D65" t="inlineStr">
        <is>
          <t>10 mg comp.x 60</t>
        </is>
      </c>
      <c r="E65" s="2" t="n">
        <v>46334.29</v>
      </c>
      <c r="F65" s="2" t="n">
        <v>46334.29</v>
      </c>
      <c r="G65" s="2">
        <f>IFERROR(F65/60,"")</f>
        <v/>
      </c>
      <c r="H65" s="6">
        <f>IFERROR((F65-E65)/E65,"")</f>
        <v/>
      </c>
      <c r="I65" s="6">
        <f>IFERROR((G65-G47)/G47,"")</f>
        <v/>
      </c>
      <c r="J65" s="6">
        <f>IFERROR((G65-G35)/G35,"")</f>
        <v/>
      </c>
      <c r="K65" s="3" t="n">
        <v>19675</v>
      </c>
      <c r="L65" s="6">
        <f>IFERROR(K65/SUM($K$35:$K$85),"")</f>
        <v/>
      </c>
      <c r="M65" s="8" t="n">
        <v>31</v>
      </c>
    </row>
    <row r="66">
      <c r="A66" t="inlineStr">
        <is>
          <t>Microsules Arg.</t>
        </is>
      </c>
      <c r="B66" t="inlineStr">
        <is>
          <t>TURBULINA</t>
        </is>
      </c>
      <c r="C66" t="inlineStr">
        <is>
          <t>10 mg</t>
        </is>
      </c>
      <c r="D66" t="inlineStr">
        <is>
          <t>10 mg comp.rec.x 30</t>
        </is>
      </c>
      <c r="E66" s="2" t="n">
        <v>23526.55</v>
      </c>
      <c r="F66" s="2" t="n">
        <v>24208.82</v>
      </c>
      <c r="G66" s="2">
        <f>IFERROR(F66/30,"")</f>
        <v/>
      </c>
      <c r="H66" s="6">
        <f>IFERROR((F66-E66)/E66,"")</f>
        <v/>
      </c>
      <c r="I66" s="6">
        <f>IFERROR((G66-G47)/G47,"")</f>
        <v/>
      </c>
      <c r="J66" s="6">
        <f>IFERROR((G66-G35)/G35,"")</f>
        <v/>
      </c>
      <c r="K66" s="3" t="n">
        <v>19411</v>
      </c>
      <c r="L66" s="6">
        <f>IFERROR(K66/SUM($K$35:$K$85),"")</f>
        <v/>
      </c>
      <c r="M66" s="8" t="n">
        <v>32</v>
      </c>
    </row>
    <row r="67">
      <c r="A67" t="inlineStr">
        <is>
          <t>Géminis Farmacéutica</t>
        </is>
      </c>
      <c r="B67" t="inlineStr">
        <is>
          <t>ROSUCOL</t>
        </is>
      </c>
      <c r="C67" t="inlineStr">
        <is>
          <t>10 mg</t>
        </is>
      </c>
      <c r="D67" t="inlineStr">
        <is>
          <t>10 mg comp.x 30</t>
        </is>
      </c>
      <c r="E67" s="2" t="n">
        <v>20550</v>
      </c>
      <c r="F67" s="2" t="n">
        <v>21063.75</v>
      </c>
      <c r="G67" s="2">
        <f>IFERROR(F67/30,"")</f>
        <v/>
      </c>
      <c r="H67" s="6">
        <f>IFERROR((F67-E67)/E67,"")</f>
        <v/>
      </c>
      <c r="I67" s="6">
        <f>IFERROR((G67-G47)/G47,"")</f>
        <v/>
      </c>
      <c r="J67" s="6">
        <f>IFERROR((G67-G35)/G35,"")</f>
        <v/>
      </c>
      <c r="K67" s="3" t="n">
        <v>18639</v>
      </c>
      <c r="L67" s="6">
        <f>IFERROR(K67/SUM($K$35:$K$85),"")</f>
        <v/>
      </c>
      <c r="M67" s="8" t="n">
        <v>33</v>
      </c>
    </row>
    <row r="68">
      <c r="A68" t="inlineStr">
        <is>
          <t>Teva Argentina</t>
        </is>
      </c>
      <c r="B68" t="inlineStr">
        <is>
          <t>ARTOMEY</t>
        </is>
      </c>
      <c r="C68" t="inlineStr">
        <is>
          <t>10 mg</t>
        </is>
      </c>
      <c r="D68" t="inlineStr">
        <is>
          <t>10 mg comp.x 60</t>
        </is>
      </c>
      <c r="E68" s="2" t="n">
        <v>53038.1</v>
      </c>
      <c r="F68" s="2" t="n">
        <v>56213.48</v>
      </c>
      <c r="G68" s="2">
        <f>IFERROR(F68/60,"")</f>
        <v/>
      </c>
      <c r="H68" s="6">
        <f>IFERROR((F68-E68)/E68,"")</f>
        <v/>
      </c>
      <c r="I68" s="6">
        <f>IFERROR((G68-G47)/G47,"")</f>
        <v/>
      </c>
      <c r="J68" s="6">
        <f>IFERROR((G68-G35)/G35,"")</f>
        <v/>
      </c>
      <c r="K68" s="3" t="n">
        <v>10136</v>
      </c>
      <c r="L68" s="6">
        <f>IFERROR(K68/SUM($K$35:$K$85),"")</f>
        <v/>
      </c>
      <c r="M68" s="8" t="n">
        <v>34</v>
      </c>
    </row>
    <row r="69">
      <c r="A69" t="inlineStr">
        <is>
          <t>Eurofarma</t>
        </is>
      </c>
      <c r="B69" t="inlineStr">
        <is>
          <t>ROSULIP</t>
        </is>
      </c>
      <c r="C69" t="inlineStr">
        <is>
          <t>10 mg</t>
        </is>
      </c>
      <c r="D69" t="inlineStr">
        <is>
          <t>10 mg comp.x 30</t>
        </is>
      </c>
      <c r="E69" s="2" t="n">
        <v>24643.32</v>
      </c>
      <c r="F69" s="2" t="n">
        <v>26118.72</v>
      </c>
      <c r="G69" s="2">
        <f>IFERROR(F69/30,"")</f>
        <v/>
      </c>
      <c r="H69" s="6">
        <f>IFERROR((F69-E69)/E69,"")</f>
        <v/>
      </c>
      <c r="I69" s="6">
        <f>IFERROR((G69-G47)/G47,"")</f>
        <v/>
      </c>
      <c r="J69" s="6">
        <f>IFERROR((G69-G35)/G35,"")</f>
        <v/>
      </c>
      <c r="K69" s="3" t="n">
        <v>5116</v>
      </c>
      <c r="L69" s="6">
        <f>IFERROR(K69/SUM($K$35:$K$85),"")</f>
        <v/>
      </c>
      <c r="M69" s="8" t="n">
        <v>35</v>
      </c>
    </row>
    <row r="70">
      <c r="A70" t="inlineStr">
        <is>
          <t>Craveri</t>
        </is>
      </c>
      <c r="B70" t="inlineStr">
        <is>
          <t>LIPOGLUTAREN 10</t>
        </is>
      </c>
      <c r="C70" t="inlineStr">
        <is>
          <t>10 mg</t>
        </is>
      </c>
      <c r="D70" t="inlineStr">
        <is>
          <t>10 mg comp.rec.x 30</t>
        </is>
      </c>
      <c r="E70" s="2" t="n">
        <v>24630.86</v>
      </c>
      <c r="F70" s="2" t="n">
        <v>26512.66</v>
      </c>
      <c r="G70" s="2">
        <f>IFERROR(F70/30,"")</f>
        <v/>
      </c>
      <c r="H70" s="6">
        <f>IFERROR((F70-E70)/E70,"")</f>
        <v/>
      </c>
      <c r="I70" s="6">
        <f>IFERROR((G70-G47)/G47,"")</f>
        <v/>
      </c>
      <c r="J70" s="6">
        <f>IFERROR((G70-G35)/G35,"")</f>
        <v/>
      </c>
      <c r="K70" s="3" t="n">
        <v>4696</v>
      </c>
      <c r="L70" s="6">
        <f>IFERROR(K70/SUM($K$35:$K$85),"")</f>
        <v/>
      </c>
      <c r="M70" s="8" t="n">
        <v>36</v>
      </c>
    </row>
    <row r="71">
      <c r="A71" t="inlineStr">
        <is>
          <t>Elea</t>
        </is>
      </c>
      <c r="B71" t="inlineStr">
        <is>
          <t>RABLOC</t>
        </is>
      </c>
      <c r="C71" t="inlineStr">
        <is>
          <t>10 mg</t>
        </is>
      </c>
      <c r="D71" t="inlineStr">
        <is>
          <t>10 mg comp.x 30</t>
        </is>
      </c>
      <c r="E71" s="2" t="n">
        <v>35982.55</v>
      </c>
      <c r="F71" s="2" t="n">
        <v>38284.71</v>
      </c>
      <c r="G71" s="2">
        <f>IFERROR(F71/30,"")</f>
        <v/>
      </c>
      <c r="H71" s="6">
        <f>IFERROR((F71-E71)/E71,"")</f>
        <v/>
      </c>
      <c r="I71" s="6">
        <f>IFERROR((G71-G47)/G47,"")</f>
        <v/>
      </c>
      <c r="J71" s="6">
        <f>IFERROR((G71-G35)/G35,"")</f>
        <v/>
      </c>
      <c r="K71" s="3" t="n">
        <v>3200</v>
      </c>
      <c r="L71" s="6">
        <f>IFERROR(K71/SUM($K$35:$K$85),"")</f>
        <v/>
      </c>
      <c r="M71" s="8" t="n">
        <v>37</v>
      </c>
    </row>
    <row r="72">
      <c r="A72" t="inlineStr">
        <is>
          <t>Biotenk</t>
        </is>
      </c>
      <c r="B72" t="inlineStr">
        <is>
          <t>ROSTAN</t>
        </is>
      </c>
      <c r="C72" t="inlineStr">
        <is>
          <t>10 mg</t>
        </is>
      </c>
      <c r="D72" t="inlineStr">
        <is>
          <t>10 mg comp.rec.x 30</t>
        </is>
      </c>
      <c r="E72" s="2" t="n">
        <v>21478.12</v>
      </c>
      <c r="F72" s="2" t="n">
        <v>23007.36</v>
      </c>
      <c r="G72" s="2">
        <f>IFERROR(F72/30,"")</f>
        <v/>
      </c>
      <c r="H72" s="6">
        <f>IFERROR((F72-E72)/E72,"")</f>
        <v/>
      </c>
      <c r="I72" s="6">
        <f>IFERROR((G72-G47)/G47,"")</f>
        <v/>
      </c>
      <c r="J72" s="6">
        <f>IFERROR((G72-G35)/G35,"")</f>
        <v/>
      </c>
      <c r="K72" s="3" t="n">
        <v>1971</v>
      </c>
      <c r="L72" s="6">
        <f>IFERROR(K72/SUM($K$35:$K$85),"")</f>
        <v/>
      </c>
      <c r="M72" s="8" t="n">
        <v>38</v>
      </c>
    </row>
    <row r="73">
      <c r="A73" t="inlineStr">
        <is>
          <t>Géminis Farmacéutica</t>
        </is>
      </c>
      <c r="B73" t="inlineStr">
        <is>
          <t>ROSUCOL</t>
        </is>
      </c>
      <c r="C73" t="inlineStr">
        <is>
          <t>10 mg</t>
        </is>
      </c>
      <c r="D73" t="inlineStr">
        <is>
          <t>10 mg comp.x 28</t>
        </is>
      </c>
      <c r="E73" s="2" t="n">
        <v>21859.4</v>
      </c>
      <c r="F73" s="2" t="n">
        <v>22493.32</v>
      </c>
      <c r="G73" s="2">
        <f>IFERROR(F73/28,"")</f>
        <v/>
      </c>
      <c r="H73" s="6">
        <f>IFERROR((F73-E73)/E73,"")</f>
        <v/>
      </c>
      <c r="I73" s="6">
        <f>IFERROR((G73-G47)/G47,"")</f>
        <v/>
      </c>
      <c r="J73" s="6">
        <f>IFERROR((G73-G35)/G35,"")</f>
        <v/>
      </c>
      <c r="K73" s="3" t="n">
        <v>1633</v>
      </c>
      <c r="L73" s="6">
        <f>IFERROR(K73/SUM($K$35:$K$85),"")</f>
        <v/>
      </c>
      <c r="M73" s="8" t="n">
        <v>39</v>
      </c>
    </row>
    <row r="74">
      <c r="A74" t="inlineStr">
        <is>
          <t>Géminis Farmacéutica</t>
        </is>
      </c>
      <c r="B74" t="inlineStr">
        <is>
          <t>ROSUCOL</t>
        </is>
      </c>
      <c r="C74" t="inlineStr">
        <is>
          <t>10 mg</t>
        </is>
      </c>
      <c r="D74" t="inlineStr">
        <is>
          <t>10 mg comp.x 60</t>
        </is>
      </c>
      <c r="E74" s="2" t="n">
        <v>42530.97</v>
      </c>
      <c r="F74" s="2" t="n">
        <v>43594.24</v>
      </c>
      <c r="G74" s="2">
        <f>IFERROR(F74/60,"")</f>
        <v/>
      </c>
      <c r="H74" s="6">
        <f>IFERROR((F74-E74)/E74,"")</f>
        <v/>
      </c>
      <c r="I74" s="6">
        <f>IFERROR((G74-G47)/G47,"")</f>
        <v/>
      </c>
      <c r="J74" s="6">
        <f>IFERROR((G74-G35)/G35,"")</f>
        <v/>
      </c>
      <c r="K74" s="3" t="n">
        <v>1378</v>
      </c>
      <c r="L74" s="6">
        <f>IFERROR(K74/SUM($K$35:$K$85),"")</f>
        <v/>
      </c>
      <c r="M74" s="8" t="n">
        <v>40</v>
      </c>
    </row>
    <row r="75">
      <c r="A75" t="inlineStr">
        <is>
          <t>Klonal</t>
        </is>
      </c>
      <c r="B75" t="inlineStr">
        <is>
          <t>ROVESTOR</t>
        </is>
      </c>
      <c r="C75" t="inlineStr">
        <is>
          <t>10 mg</t>
        </is>
      </c>
      <c r="D75" t="inlineStr">
        <is>
          <t>10 mg comp.x 30</t>
        </is>
      </c>
      <c r="E75" s="2" t="n">
        <v>17106.28</v>
      </c>
      <c r="F75" s="2" t="n">
        <v>19672.22</v>
      </c>
      <c r="G75" s="2">
        <f>IFERROR(F75/30,"")</f>
        <v/>
      </c>
      <c r="H75" s="6">
        <f>IFERROR((F75-E75)/E75,"")</f>
        <v/>
      </c>
      <c r="I75" s="6">
        <f>IFERROR((G75-G47)/G47,"")</f>
        <v/>
      </c>
      <c r="J75" s="6">
        <f>IFERROR((G75-G35)/G35,"")</f>
        <v/>
      </c>
      <c r="K75" s="3" t="n">
        <v>78</v>
      </c>
      <c r="L75" s="6">
        <f>IFERROR(K75/SUM($K$35:$K$85),"")</f>
        <v/>
      </c>
      <c r="M75" s="8" t="n">
        <v>41</v>
      </c>
    </row>
    <row r="76">
      <c r="A76" t="inlineStr">
        <is>
          <t>Savant Generic</t>
        </is>
      </c>
      <c r="B76" t="inlineStr">
        <is>
          <t>COLESTRAX</t>
        </is>
      </c>
      <c r="C76" t="inlineStr">
        <is>
          <t>10 mg</t>
        </is>
      </c>
      <c r="D76" t="inlineStr">
        <is>
          <t>10 mg comp.x 28</t>
        </is>
      </c>
      <c r="E76" s="2" t="n">
        <v>16650.39</v>
      </c>
      <c r="F76" s="2" t="n">
        <v>16650.39</v>
      </c>
      <c r="G76" s="2">
        <f>IFERROR(F76/28,"")</f>
        <v/>
      </c>
      <c r="H76" s="6">
        <f>IFERROR((F76-E76)/E76,"")</f>
        <v/>
      </c>
      <c r="I76" s="6">
        <f>IFERROR((G76-G47)/G47,"")</f>
        <v/>
      </c>
      <c r="J76" s="6">
        <f>IFERROR((G76-G35)/G35,"")</f>
        <v/>
      </c>
      <c r="K76" s="3" t="n">
        <v>39</v>
      </c>
      <c r="L76" s="6">
        <f>IFERROR(K76/SUM($K$35:$K$85),"")</f>
        <v/>
      </c>
      <c r="M76" s="8" t="n">
        <v>42</v>
      </c>
    </row>
    <row r="77">
      <c r="A77" t="inlineStr">
        <is>
          <t>Laboratorios Bernabó</t>
        </is>
      </c>
      <c r="B77" t="inlineStr">
        <is>
          <t>ROSUBER</t>
        </is>
      </c>
      <c r="C77" t="inlineStr">
        <is>
          <t>10 mg</t>
        </is>
      </c>
      <c r="D77" t="inlineStr">
        <is>
          <t>10 mg comp.x 30</t>
        </is>
      </c>
      <c r="E77" s="2" t="n">
        <v>22615.56</v>
      </c>
      <c r="F77" s="2" t="n">
        <v>23814.18</v>
      </c>
      <c r="G77" s="2">
        <f>IFERROR(F77/30,"")</f>
        <v/>
      </c>
      <c r="H77" s="6">
        <f>IFERROR((F77-E77)/E77,"")</f>
        <v/>
      </c>
      <c r="I77" s="6">
        <f>IFERROR((G77-G47)/G47,"")</f>
        <v/>
      </c>
      <c r="J77" s="6">
        <f>IFERROR((G77-G35)/G35,"")</f>
        <v/>
      </c>
      <c r="K77" s="3" t="n"/>
      <c r="L77" s="6">
        <f>IFERROR(K77/SUM($K$35:$K$85),"")</f>
        <v/>
      </c>
      <c r="M77" s="8" t="n">
        <v>43</v>
      </c>
    </row>
    <row r="78">
      <c r="A78" t="inlineStr">
        <is>
          <t>Lafedar</t>
        </is>
      </c>
      <c r="B78" t="inlineStr">
        <is>
          <t>TIALIPOL</t>
        </is>
      </c>
      <c r="C78" t="inlineStr">
        <is>
          <t>10 mg</t>
        </is>
      </c>
      <c r="D78" t="inlineStr">
        <is>
          <t>10 mg comp.x 30</t>
        </is>
      </c>
      <c r="E78" s="2" t="n">
        <v>22468.01</v>
      </c>
      <c r="F78" s="2" t="n">
        <v>23905.65</v>
      </c>
      <c r="G78" s="2">
        <f>IFERROR(F78/30,"")</f>
        <v/>
      </c>
      <c r="H78" s="6">
        <f>IFERROR((F78-E78)/E78,"")</f>
        <v/>
      </c>
      <c r="I78" s="6">
        <f>IFERROR((G78-G47)/G47,"")</f>
        <v/>
      </c>
      <c r="J78" s="6">
        <f>IFERROR((G78-G35)/G35,"")</f>
        <v/>
      </c>
      <c r="K78" s="3" t="n"/>
      <c r="L78" s="6">
        <f>IFERROR(K78/SUM($K$35:$K$85),"")</f>
        <v/>
      </c>
      <c r="M78" s="8" t="n">
        <v>44</v>
      </c>
    </row>
    <row r="79">
      <c r="A79" t="inlineStr">
        <is>
          <t>Lepetit</t>
        </is>
      </c>
      <c r="B79" t="inlineStr">
        <is>
          <t>ROSUVASTATINA ROSUX</t>
        </is>
      </c>
      <c r="C79" t="inlineStr">
        <is>
          <t>10 mg</t>
        </is>
      </c>
      <c r="D79" t="inlineStr">
        <is>
          <t>10 mg comp.x 30</t>
        </is>
      </c>
      <c r="E79" s="2" t="n">
        <v>20980</v>
      </c>
      <c r="F79" s="2" t="n">
        <v>23920</v>
      </c>
      <c r="G79" s="2">
        <f>IFERROR(F79/30,"")</f>
        <v/>
      </c>
      <c r="H79" s="6">
        <f>IFERROR((F79-E79)/E79,"")</f>
        <v/>
      </c>
      <c r="I79" s="6">
        <f>IFERROR((G79-G47)/G47,"")</f>
        <v/>
      </c>
      <c r="J79" s="6">
        <f>IFERROR((G79-G35)/G35,"")</f>
        <v/>
      </c>
      <c r="K79" s="3" t="n"/>
      <c r="L79" s="6">
        <f>IFERROR(K79/SUM($K$35:$K$85),"")</f>
        <v/>
      </c>
      <c r="M79" s="8" t="n">
        <v>45</v>
      </c>
    </row>
    <row r="80">
      <c r="A80" t="inlineStr">
        <is>
          <t>Richet</t>
        </is>
      </c>
      <c r="B80" t="inlineStr">
        <is>
          <t>ROSUVASTATINA RICHET</t>
        </is>
      </c>
      <c r="C80" t="inlineStr">
        <is>
          <t>10 mg</t>
        </is>
      </c>
      <c r="D80" t="inlineStr">
        <is>
          <t>10 mg comp.x 28</t>
        </is>
      </c>
      <c r="E80" s="2" t="n">
        <v>19420.54</v>
      </c>
      <c r="F80" s="2" t="n">
        <v>19711.85</v>
      </c>
      <c r="G80" s="2">
        <f>IFERROR(F80/28,"")</f>
        <v/>
      </c>
      <c r="H80" s="6">
        <f>IFERROR((F80-E80)/E80,"")</f>
        <v/>
      </c>
      <c r="I80" s="6">
        <f>IFERROR((G80-G47)/G47,"")</f>
        <v/>
      </c>
      <c r="J80" s="6">
        <f>IFERROR((G80-G35)/G35,"")</f>
        <v/>
      </c>
      <c r="K80" s="3" t="n"/>
      <c r="L80" s="6">
        <f>IFERROR(K80/SUM($K$35:$K$85),"")</f>
        <v/>
      </c>
      <c r="M80" s="8" t="n">
        <v>46</v>
      </c>
    </row>
    <row r="81">
      <c r="A81" t="inlineStr">
        <is>
          <t>Richet</t>
        </is>
      </c>
      <c r="B81" t="inlineStr">
        <is>
          <t>ROSUVASTATINA RICHET</t>
        </is>
      </c>
      <c r="C81" t="inlineStr">
        <is>
          <t>10 mg</t>
        </is>
      </c>
      <c r="D81" t="inlineStr">
        <is>
          <t>10 mg comp.x 30</t>
        </is>
      </c>
      <c r="E81" s="2" t="n">
        <v>19641.77</v>
      </c>
      <c r="F81" s="2" t="n">
        <v>19936.4</v>
      </c>
      <c r="G81" s="2">
        <f>IFERROR(F81/30,"")</f>
        <v/>
      </c>
      <c r="H81" s="6">
        <f>IFERROR((F81-E81)/E81,"")</f>
        <v/>
      </c>
      <c r="I81" s="6">
        <f>IFERROR((G81-G47)/G47,"")</f>
        <v/>
      </c>
      <c r="J81" s="6">
        <f>IFERROR((G81-G35)/G35,"")</f>
        <v/>
      </c>
      <c r="K81" s="3" t="n"/>
      <c r="L81" s="6">
        <f>IFERROR(K81/SUM($K$35:$K$85),"")</f>
        <v/>
      </c>
      <c r="M81" s="8" t="n">
        <v>47</v>
      </c>
    </row>
    <row r="82">
      <c r="A82" t="inlineStr">
        <is>
          <t>Richet</t>
        </is>
      </c>
      <c r="B82" t="inlineStr">
        <is>
          <t>ROSUVASTATINA RICHET</t>
        </is>
      </c>
      <c r="C82" t="inlineStr">
        <is>
          <t>10 mg</t>
        </is>
      </c>
      <c r="D82" t="inlineStr">
        <is>
          <t>10 mg comp.rec.x 60</t>
        </is>
      </c>
      <c r="E82" s="2" t="n">
        <v>39500</v>
      </c>
      <c r="F82" s="2" t="n">
        <v>40092.5</v>
      </c>
      <c r="G82" s="2">
        <f>IFERROR(F82/60,"")</f>
        <v/>
      </c>
      <c r="H82" s="6">
        <f>IFERROR((F82-E82)/E82,"")</f>
        <v/>
      </c>
      <c r="I82" s="6">
        <f>IFERROR((G82-G47)/G47,"")</f>
        <v/>
      </c>
      <c r="J82" s="6">
        <f>IFERROR((G82-G35)/G35,"")</f>
        <v/>
      </c>
      <c r="K82" s="3" t="n"/>
      <c r="L82" s="6">
        <f>IFERROR(K82/SUM($K$35:$K$85),"")</f>
        <v/>
      </c>
      <c r="M82" s="8" t="n">
        <v>48</v>
      </c>
    </row>
    <row r="83">
      <c r="A83" t="inlineStr">
        <is>
          <t>Sidus</t>
        </is>
      </c>
      <c r="B83" t="inlineStr">
        <is>
          <t>PARASUL</t>
        </is>
      </c>
      <c r="C83" t="inlineStr">
        <is>
          <t>10 mg</t>
        </is>
      </c>
      <c r="D83" t="inlineStr">
        <is>
          <t>10 mg comp.x 28</t>
        </is>
      </c>
      <c r="E83" s="2" t="n">
        <v>40289.52</v>
      </c>
      <c r="F83" s="2" t="n">
        <v>40289.52</v>
      </c>
      <c r="G83" s="2">
        <f>IFERROR(F83/28,"")</f>
        <v/>
      </c>
      <c r="H83" s="6">
        <f>IFERROR((F83-E83)/E83,"")</f>
        <v/>
      </c>
      <c r="I83" s="6">
        <f>IFERROR((G83-G47)/G47,"")</f>
        <v/>
      </c>
      <c r="J83" s="6">
        <f>IFERROR((G83-G35)/G35,"")</f>
        <v/>
      </c>
      <c r="K83" s="3" t="n"/>
      <c r="L83" s="6">
        <f>IFERROR(K83/SUM($K$35:$K$85),"")</f>
        <v/>
      </c>
      <c r="M83" s="8" t="n">
        <v>49</v>
      </c>
    </row>
    <row r="84">
      <c r="A84" t="inlineStr">
        <is>
          <t>Temis-Lostaló</t>
        </is>
      </c>
      <c r="B84" t="inlineStr">
        <is>
          <t>NODIS 10</t>
        </is>
      </c>
      <c r="C84" t="inlineStr">
        <is>
          <t>10 mg</t>
        </is>
      </c>
      <c r="D84" t="inlineStr">
        <is>
          <t>10 mg comp.rec.x 30</t>
        </is>
      </c>
      <c r="E84" s="2" t="n">
        <v>23348.5</v>
      </c>
      <c r="F84" s="2" t="n">
        <v>24024.75</v>
      </c>
      <c r="G84" s="2">
        <f>IFERROR(F84/30,"")</f>
        <v/>
      </c>
      <c r="H84" s="6">
        <f>IFERROR((F84-E84)/E84,"")</f>
        <v/>
      </c>
      <c r="I84" s="6">
        <f>IFERROR((G84-G47)/G47,"")</f>
        <v/>
      </c>
      <c r="J84" s="6">
        <f>IFERROR((G84-G35)/G35,"")</f>
        <v/>
      </c>
      <c r="K84" s="3" t="n"/>
      <c r="L84" s="6">
        <f>IFERROR(K84/SUM($K$35:$K$85),"")</f>
        <v/>
      </c>
      <c r="M84" s="8" t="n">
        <v>50</v>
      </c>
    </row>
    <row r="85">
      <c r="A85" t="inlineStr">
        <is>
          <t>Vannier</t>
        </is>
      </c>
      <c r="B85" t="inlineStr">
        <is>
          <t>ROSUVASTATINA VANNIER</t>
        </is>
      </c>
      <c r="C85" t="inlineStr">
        <is>
          <t>10 mg</t>
        </is>
      </c>
      <c r="D85" t="inlineStr">
        <is>
          <t>10 mg comp.x 30</t>
        </is>
      </c>
      <c r="E85" s="2" t="n">
        <v>22011.25</v>
      </c>
      <c r="F85" s="2" t="n">
        <v>23102.84</v>
      </c>
      <c r="G85" s="2">
        <f>IFERROR(F85/30,"")</f>
        <v/>
      </c>
      <c r="H85" s="6">
        <f>IFERROR((F85-E85)/E85,"")</f>
        <v/>
      </c>
      <c r="I85" s="6">
        <f>IFERROR((G85-G47)/G47,"")</f>
        <v/>
      </c>
      <c r="J85" s="6">
        <f>IFERROR((G85-G35)/G35,"")</f>
        <v/>
      </c>
      <c r="K85" s="3" t="n"/>
      <c r="L85" s="6">
        <f>IFERROR(K85/SUM($K$35:$K$85),"")</f>
        <v/>
      </c>
      <c r="M85" s="8" t="n">
        <v>51</v>
      </c>
    </row>
    <row r="87" ht="20" customHeight="1">
      <c r="A87" s="5" t="inlineStr">
        <is>
          <t>Dosis: 20 mg — rosuvastatina</t>
        </is>
      </c>
    </row>
    <row r="88">
      <c r="A88" t="inlineStr">
        <is>
          <t>Roemmers</t>
        </is>
      </c>
      <c r="B88" t="inlineStr">
        <is>
          <t>ROVARTAL</t>
        </is>
      </c>
      <c r="C88" t="inlineStr">
        <is>
          <t>20 mg</t>
        </is>
      </c>
      <c r="D88" t="inlineStr">
        <is>
          <t>20 mg comp.rec.x 30</t>
        </is>
      </c>
      <c r="E88" s="2" t="n">
        <v>46044</v>
      </c>
      <c r="F88" s="2" t="n">
        <v>47379</v>
      </c>
      <c r="G88" s="2">
        <f>IFERROR(F88/30,"")</f>
        <v/>
      </c>
      <c r="H88" s="6">
        <f>IFERROR((F88-E88)/E88,"")</f>
        <v/>
      </c>
      <c r="I88" s="6">
        <f>IFERROR((G88-G99)/G99,"")</f>
        <v/>
      </c>
      <c r="J88" s="7" t="inlineStr">
        <is>
          <t>Líder</t>
        </is>
      </c>
      <c r="K88" s="3" t="n">
        <v>551162</v>
      </c>
      <c r="L88" s="6">
        <f>IFERROR(K88/SUM($K$88:$K$135),"")</f>
        <v/>
      </c>
      <c r="M88" s="8" t="n">
        <v>1</v>
      </c>
    </row>
    <row r="89">
      <c r="A89" t="inlineStr">
        <is>
          <t>Gador</t>
        </is>
      </c>
      <c r="B89" t="inlineStr">
        <is>
          <t>SINLIP</t>
        </is>
      </c>
      <c r="C89" t="inlineStr">
        <is>
          <t>20 mg</t>
        </is>
      </c>
      <c r="D89" t="inlineStr">
        <is>
          <t>20 mg comp.rec.x 30</t>
        </is>
      </c>
      <c r="E89" s="2" t="n">
        <v>42787.68</v>
      </c>
      <c r="F89" s="2" t="n">
        <v>43857.36</v>
      </c>
      <c r="G89" s="2">
        <f>IFERROR(F89/30,"")</f>
        <v/>
      </c>
      <c r="H89" s="6">
        <f>IFERROR((F89-E89)/E89,"")</f>
        <v/>
      </c>
      <c r="I89" s="6">
        <f>IFERROR((G89-G99)/G99,"")</f>
        <v/>
      </c>
      <c r="J89" s="6">
        <f>IFERROR((G89-G88)/G88,"")</f>
        <v/>
      </c>
      <c r="K89" s="3" t="n">
        <v>480722</v>
      </c>
      <c r="L89" s="6">
        <f>IFERROR(K89/SUM($K$88:$K$135),"")</f>
        <v/>
      </c>
      <c r="M89" s="8" t="n">
        <v>2</v>
      </c>
    </row>
    <row r="90">
      <c r="A90" t="inlineStr">
        <is>
          <t>Baliarda</t>
        </is>
      </c>
      <c r="B90" t="inlineStr">
        <is>
          <t>REOVEX 20</t>
        </is>
      </c>
      <c r="C90" t="inlineStr">
        <is>
          <t>20 mg</t>
        </is>
      </c>
      <c r="D90" t="inlineStr">
        <is>
          <t>20 mg comp.rec.ran.x 30</t>
        </is>
      </c>
      <c r="E90" s="2" t="n">
        <v>41581.83</v>
      </c>
      <c r="F90" s="2" t="n">
        <v>42787.7</v>
      </c>
      <c r="G90" s="2">
        <f>IFERROR(F90/30,"")</f>
        <v/>
      </c>
      <c r="H90" s="6">
        <f>IFERROR((F90-E90)/E90,"")</f>
        <v/>
      </c>
      <c r="I90" s="6">
        <f>IFERROR((G90-G99)/G99,"")</f>
        <v/>
      </c>
      <c r="J90" s="6">
        <f>IFERROR((G90-G88)/G88,"")</f>
        <v/>
      </c>
      <c r="K90" s="3" t="n">
        <v>245238</v>
      </c>
      <c r="L90" s="6">
        <f>IFERROR(K90/SUM($K$88:$K$135),"")</f>
        <v/>
      </c>
      <c r="M90" s="8" t="n">
        <v>3</v>
      </c>
    </row>
    <row r="91">
      <c r="A91" t="inlineStr">
        <is>
          <t>Bagó</t>
        </is>
      </c>
      <c r="B91" t="inlineStr">
        <is>
          <t>ROSUVAST 20</t>
        </is>
      </c>
      <c r="C91" t="inlineStr">
        <is>
          <t>20 mg</t>
        </is>
      </c>
      <c r="D91" t="inlineStr">
        <is>
          <t>20 mg comp.x 30</t>
        </is>
      </c>
      <c r="E91" s="2" t="n">
        <v>45507.8</v>
      </c>
      <c r="F91" s="2" t="n">
        <v>46522.63</v>
      </c>
      <c r="G91" s="2">
        <f>IFERROR(F91/30,"")</f>
        <v/>
      </c>
      <c r="H91" s="6">
        <f>IFERROR((F91-E91)/E91,"")</f>
        <v/>
      </c>
      <c r="I91" s="6">
        <f>IFERROR((G91-G99)/G99,"")</f>
        <v/>
      </c>
      <c r="J91" s="6">
        <f>IFERROR((G91-G88)/G88,"")</f>
        <v/>
      </c>
      <c r="K91" s="3" t="n">
        <v>233744</v>
      </c>
      <c r="L91" s="6">
        <f>IFERROR(K91/SUM($K$88:$K$135),"")</f>
        <v/>
      </c>
      <c r="M91" s="8" t="n">
        <v>4</v>
      </c>
    </row>
    <row r="92">
      <c r="A92" t="inlineStr">
        <is>
          <t>Casasco</t>
        </is>
      </c>
      <c r="B92" t="inlineStr">
        <is>
          <t>HIPOLIPOL</t>
        </is>
      </c>
      <c r="C92" t="inlineStr">
        <is>
          <t>20 mg</t>
        </is>
      </c>
      <c r="D92" t="inlineStr">
        <is>
          <t>20 mg comp.rec.x 30</t>
        </is>
      </c>
      <c r="E92" s="2" t="n">
        <v>41574.37</v>
      </c>
      <c r="F92" s="2" t="n">
        <v>42780.03</v>
      </c>
      <c r="G92" s="2">
        <f>IFERROR(F92/30,"")</f>
        <v/>
      </c>
      <c r="H92" s="6">
        <f>IFERROR((F92-E92)/E92,"")</f>
        <v/>
      </c>
      <c r="I92" s="6">
        <f>IFERROR((G92-G99)/G99,"")</f>
        <v/>
      </c>
      <c r="J92" s="6">
        <f>IFERROR((G92-G88)/G88,"")</f>
        <v/>
      </c>
      <c r="K92" s="3" t="n">
        <v>178451</v>
      </c>
      <c r="L92" s="6">
        <f>IFERROR(K92/SUM($K$88:$K$135),"")</f>
        <v/>
      </c>
      <c r="M92" s="8" t="n">
        <v>5</v>
      </c>
    </row>
    <row r="93">
      <c r="A93" t="inlineStr">
        <is>
          <t>Elea</t>
        </is>
      </c>
      <c r="B93" t="inlineStr">
        <is>
          <t>LIPEX</t>
        </is>
      </c>
      <c r="C93" t="inlineStr">
        <is>
          <t>20 mg</t>
        </is>
      </c>
      <c r="D93" t="inlineStr">
        <is>
          <t>20 mg comp.x 30</t>
        </is>
      </c>
      <c r="E93" s="2" t="n">
        <v>47809.79</v>
      </c>
      <c r="F93" s="2" t="n">
        <v>50721.22</v>
      </c>
      <c r="G93" s="2">
        <f>IFERROR(F93/30,"")</f>
        <v/>
      </c>
      <c r="H93" s="6">
        <f>IFERROR((F93-E93)/E93,"")</f>
        <v/>
      </c>
      <c r="I93" s="6">
        <f>IFERROR((G93-G99)/G99,"")</f>
        <v/>
      </c>
      <c r="J93" s="6">
        <f>IFERROR((G93-G88)/G88,"")</f>
        <v/>
      </c>
      <c r="K93" s="3" t="n">
        <v>121083</v>
      </c>
      <c r="L93" s="6">
        <f>IFERROR(K93/SUM($K$88:$K$135),"")</f>
        <v/>
      </c>
      <c r="M93" s="8" t="n">
        <v>6</v>
      </c>
    </row>
    <row r="94">
      <c r="A94" t="inlineStr">
        <is>
          <t>Bagó</t>
        </is>
      </c>
      <c r="B94" t="inlineStr">
        <is>
          <t>ROSUVAST 20</t>
        </is>
      </c>
      <c r="C94" t="inlineStr">
        <is>
          <t>20 mg</t>
        </is>
      </c>
      <c r="D94" t="inlineStr">
        <is>
          <t>20 mg comp.x 28</t>
        </is>
      </c>
      <c r="E94" s="2" t="n">
        <v>46400.66</v>
      </c>
      <c r="F94" s="2" t="n">
        <v>47435.39</v>
      </c>
      <c r="G94" s="2">
        <f>IFERROR(F94/28,"")</f>
        <v/>
      </c>
      <c r="H94" s="6">
        <f>IFERROR((F94-E94)/E94,"")</f>
        <v/>
      </c>
      <c r="I94" s="6">
        <f>IFERROR((G94-G99)/G99,"")</f>
        <v/>
      </c>
      <c r="J94" s="6">
        <f>IFERROR((G94-G88)/G88,"")</f>
        <v/>
      </c>
      <c r="K94" s="3" t="n">
        <v>115048</v>
      </c>
      <c r="L94" s="6">
        <f>IFERROR(K94/SUM($K$88:$K$135),"")</f>
        <v/>
      </c>
      <c r="M94" s="8" t="n">
        <v>7</v>
      </c>
    </row>
    <row r="95">
      <c r="A95" t="inlineStr">
        <is>
          <t>Nolter</t>
        </is>
      </c>
      <c r="B95" t="inlineStr">
        <is>
          <t>ROSUFEN</t>
        </is>
      </c>
      <c r="C95" t="inlineStr">
        <is>
          <t>20 mg</t>
        </is>
      </c>
      <c r="D95" t="inlineStr">
        <is>
          <t>20 mg comp.rec.x 30</t>
        </is>
      </c>
      <c r="E95" s="2" t="n">
        <v>46236.76</v>
      </c>
      <c r="F95" s="2" t="n">
        <v>48957.33</v>
      </c>
      <c r="G95" s="2">
        <f>IFERROR(F95/30,"")</f>
        <v/>
      </c>
      <c r="H95" s="6">
        <f>IFERROR((F95-E95)/E95,"")</f>
        <v/>
      </c>
      <c r="I95" s="6">
        <f>IFERROR((G95-G99)/G99,"")</f>
        <v/>
      </c>
      <c r="J95" s="6">
        <f>IFERROR((G95-G88)/G88,"")</f>
        <v/>
      </c>
      <c r="K95" s="3" t="n">
        <v>85466</v>
      </c>
      <c r="L95" s="6">
        <f>IFERROR(K95/SUM($K$88:$K$135),"")</f>
        <v/>
      </c>
      <c r="M95" s="8" t="n">
        <v>8</v>
      </c>
    </row>
    <row r="96">
      <c r="A96" t="inlineStr">
        <is>
          <t>Montpellier</t>
        </is>
      </c>
      <c r="B96" t="inlineStr">
        <is>
          <t>ROSUSTATIN</t>
        </is>
      </c>
      <c r="C96" t="inlineStr">
        <is>
          <t>20 mg</t>
        </is>
      </c>
      <c r="D96" t="inlineStr">
        <is>
          <t>20 mg comp.x 30</t>
        </is>
      </c>
      <c r="E96" s="2" t="n">
        <v>41589.88</v>
      </c>
      <c r="F96" s="2" t="n">
        <v>41589.88</v>
      </c>
      <c r="G96" s="2">
        <f>IFERROR(F96/30,"")</f>
        <v/>
      </c>
      <c r="H96" s="6">
        <f>IFERROR((F96-E96)/E96,"")</f>
        <v/>
      </c>
      <c r="I96" s="6">
        <f>IFERROR((G96-G99)/G99,"")</f>
        <v/>
      </c>
      <c r="J96" s="6">
        <f>IFERROR((G96-G88)/G88,"")</f>
        <v/>
      </c>
      <c r="K96" s="3" t="n">
        <v>71970</v>
      </c>
      <c r="L96" s="6">
        <f>IFERROR(K96/SUM($K$88:$K$135),"")</f>
        <v/>
      </c>
      <c r="M96" s="8" t="n">
        <v>9</v>
      </c>
    </row>
    <row r="97">
      <c r="A97" t="inlineStr">
        <is>
          <t>Fecofar</t>
        </is>
      </c>
      <c r="B97" t="inlineStr">
        <is>
          <t>ROSUFEC 20</t>
        </is>
      </c>
      <c r="C97" t="inlineStr">
        <is>
          <t>20 mg</t>
        </is>
      </c>
      <c r="D97" t="inlineStr">
        <is>
          <t>20 mg comp.x 30</t>
        </is>
      </c>
      <c r="E97" s="2" t="n">
        <v>32448.77</v>
      </c>
      <c r="F97" s="2" t="n">
        <v>33260</v>
      </c>
      <c r="G97" s="2">
        <f>IFERROR(F97/30,"")</f>
        <v/>
      </c>
      <c r="H97" s="6">
        <f>IFERROR((F97-E97)/E97,"")</f>
        <v/>
      </c>
      <c r="I97" s="6">
        <f>IFERROR((G97-G99)/G99,"")</f>
        <v/>
      </c>
      <c r="J97" s="6">
        <f>IFERROR((G97-G88)/G88,"")</f>
        <v/>
      </c>
      <c r="K97" s="3" t="n">
        <v>70792</v>
      </c>
      <c r="L97" s="6">
        <f>IFERROR(K97/SUM($K$88:$K$135),"")</f>
        <v/>
      </c>
      <c r="M97" s="8" t="n">
        <v>10</v>
      </c>
    </row>
    <row r="98">
      <c r="A98" t="inlineStr">
        <is>
          <t>Gador</t>
        </is>
      </c>
      <c r="B98" t="inlineStr">
        <is>
          <t>SINLIP</t>
        </is>
      </c>
      <c r="C98" t="inlineStr">
        <is>
          <t>20 mg</t>
        </is>
      </c>
      <c r="D98" t="inlineStr">
        <is>
          <t>20 mg comp.rec.x 60</t>
        </is>
      </c>
      <c r="E98" s="2" t="n">
        <v>82704.52</v>
      </c>
      <c r="F98" s="2" t="n">
        <v>84772.12</v>
      </c>
      <c r="G98" s="2">
        <f>IFERROR(F98/60,"")</f>
        <v/>
      </c>
      <c r="H98" s="6">
        <f>IFERROR((F98-E98)/E98,"")</f>
        <v/>
      </c>
      <c r="I98" s="6">
        <f>IFERROR((G98-G99)/G99,"")</f>
        <v/>
      </c>
      <c r="J98" s="6">
        <f>IFERROR((G98-G88)/G88,"")</f>
        <v/>
      </c>
      <c r="K98" s="3" t="n">
        <v>67237</v>
      </c>
      <c r="L98" s="6">
        <f>IFERROR(K98/SUM($K$88:$K$135),"")</f>
        <v/>
      </c>
      <c r="M98" s="8" t="n">
        <v>11</v>
      </c>
    </row>
    <row r="99">
      <c r="A99" s="9" t="inlineStr">
        <is>
          <t>Siegfried ★ SIE</t>
        </is>
      </c>
      <c r="B99" s="9" t="inlineStr">
        <is>
          <t>ROXOLAN</t>
        </is>
      </c>
      <c r="C99" s="9" t="inlineStr">
        <is>
          <t>20 mg</t>
        </is>
      </c>
      <c r="D99" s="9" t="inlineStr">
        <is>
          <t>20 mg comp.rec.x 30</t>
        </is>
      </c>
      <c r="E99" s="10" t="n">
        <v>43365.49</v>
      </c>
      <c r="F99" s="10" t="n">
        <v>43365.49</v>
      </c>
      <c r="G99" s="10">
        <f>IFERROR(F99/30,"")</f>
        <v/>
      </c>
      <c r="H99" s="11" t="n"/>
      <c r="I99" s="11" t="n"/>
      <c r="J99" s="11">
        <f>IFERROR((G99-G88)/G88,"")</f>
        <v/>
      </c>
      <c r="K99" s="12" t="n">
        <v>65657</v>
      </c>
      <c r="L99" s="11">
        <f>IFERROR(K99/SUM($K$88:$K$135),"")</f>
        <v/>
      </c>
      <c r="M99" s="13" t="n">
        <v>12</v>
      </c>
    </row>
    <row r="100">
      <c r="A100" t="inlineStr">
        <is>
          <t>Beta</t>
        </is>
      </c>
      <c r="B100" t="inlineStr">
        <is>
          <t>ATERONOVA</t>
        </is>
      </c>
      <c r="C100" t="inlineStr">
        <is>
          <t>20 mg</t>
        </is>
      </c>
      <c r="D100" t="inlineStr">
        <is>
          <t>20 mg comp.x 30</t>
        </is>
      </c>
      <c r="E100" s="2" t="n">
        <v>41812.78</v>
      </c>
      <c r="F100" s="2" t="n">
        <v>44488.21</v>
      </c>
      <c r="G100" s="2">
        <f>IFERROR(F100/30,"")</f>
        <v/>
      </c>
      <c r="H100" s="6">
        <f>IFERROR((F100-E100)/E100,"")</f>
        <v/>
      </c>
      <c r="I100" s="6">
        <f>IFERROR((G100-G99)/G99,"")</f>
        <v/>
      </c>
      <c r="J100" s="6">
        <f>IFERROR((G100-G88)/G88,"")</f>
        <v/>
      </c>
      <c r="K100" s="3" t="n">
        <v>50564</v>
      </c>
      <c r="L100" s="6">
        <f>IFERROR(K100/SUM($K$88:$K$135),"")</f>
        <v/>
      </c>
      <c r="M100" s="8" t="n">
        <v>13</v>
      </c>
    </row>
    <row r="101">
      <c r="A101" t="inlineStr">
        <is>
          <t>Lepetit</t>
        </is>
      </c>
      <c r="B101" t="inlineStr">
        <is>
          <t>ROSUX</t>
        </is>
      </c>
      <c r="C101" t="inlineStr">
        <is>
          <t>20 mg</t>
        </is>
      </c>
      <c r="D101" t="inlineStr">
        <is>
          <t>20 mg comp.x 30</t>
        </is>
      </c>
      <c r="E101" s="2" t="n">
        <v>37230</v>
      </c>
      <c r="F101" s="2" t="n">
        <v>42820</v>
      </c>
      <c r="G101" s="2">
        <f>IFERROR(F101/30,"")</f>
        <v/>
      </c>
      <c r="H101" s="6">
        <f>IFERROR((F101-E101)/E101,"")</f>
        <v/>
      </c>
      <c r="I101" s="6">
        <f>IFERROR((G101-G99)/G99,"")</f>
        <v/>
      </c>
      <c r="J101" s="6">
        <f>IFERROR((G101-G88)/G88,"")</f>
        <v/>
      </c>
      <c r="K101" s="3" t="n">
        <v>45800</v>
      </c>
      <c r="L101" s="6">
        <f>IFERROR(K101/SUM($K$88:$K$135),"")</f>
        <v/>
      </c>
      <c r="M101" s="8" t="n">
        <v>14</v>
      </c>
    </row>
    <row r="102">
      <c r="A102" t="inlineStr">
        <is>
          <t>AstraZeneca</t>
        </is>
      </c>
      <c r="B102" t="inlineStr">
        <is>
          <t>CRESTOR</t>
        </is>
      </c>
      <c r="C102" t="inlineStr">
        <is>
          <t>20 mg</t>
        </is>
      </c>
      <c r="D102" t="inlineStr">
        <is>
          <t>20 mg comp.x 28</t>
        </is>
      </c>
      <c r="E102" s="2" t="n">
        <v>71011.42</v>
      </c>
      <c r="F102" s="2" t="n">
        <v>73880.28</v>
      </c>
      <c r="G102" s="2">
        <f>IFERROR(F102/28,"")</f>
        <v/>
      </c>
      <c r="H102" s="6">
        <f>IFERROR((F102-E102)/E102,"")</f>
        <v/>
      </c>
      <c r="I102" s="6">
        <f>IFERROR((G102-G99)/G99,"")</f>
        <v/>
      </c>
      <c r="J102" s="6">
        <f>IFERROR((G102-G88)/G88,"")</f>
        <v/>
      </c>
      <c r="K102" s="3" t="n">
        <v>39820</v>
      </c>
      <c r="L102" s="6">
        <f>IFERROR(K102/SUM($K$88:$K$135),"")</f>
        <v/>
      </c>
      <c r="M102" s="8" t="n">
        <v>15</v>
      </c>
    </row>
    <row r="103">
      <c r="A103" t="inlineStr">
        <is>
          <t>Finadiet</t>
        </is>
      </c>
      <c r="B103" t="inlineStr">
        <is>
          <t>MESOTEROL 20</t>
        </is>
      </c>
      <c r="C103" t="inlineStr">
        <is>
          <t>20 mg</t>
        </is>
      </c>
      <c r="D103" t="inlineStr">
        <is>
          <t>20 mg comp.rec.x 30</t>
        </is>
      </c>
      <c r="E103" s="2" t="n">
        <v>38443.08</v>
      </c>
      <c r="F103" s="2" t="n">
        <v>41172.54</v>
      </c>
      <c r="G103" s="2">
        <f>IFERROR(F103/30,"")</f>
        <v/>
      </c>
      <c r="H103" s="6">
        <f>IFERROR((F103-E103)/E103,"")</f>
        <v/>
      </c>
      <c r="I103" s="6">
        <f>IFERROR((G103-G99)/G99,"")</f>
        <v/>
      </c>
      <c r="J103" s="6">
        <f>IFERROR((G103-G88)/G88,"")</f>
        <v/>
      </c>
      <c r="K103" s="3" t="n">
        <v>29671</v>
      </c>
      <c r="L103" s="6">
        <f>IFERROR(K103/SUM($K$88:$K$135),"")</f>
        <v/>
      </c>
      <c r="M103" s="8" t="n">
        <v>16</v>
      </c>
    </row>
    <row r="104">
      <c r="A104" t="inlineStr">
        <is>
          <t>Teva Argentina</t>
        </is>
      </c>
      <c r="B104" t="inlineStr">
        <is>
          <t>ARTOMEY</t>
        </is>
      </c>
      <c r="C104" t="inlineStr">
        <is>
          <t>20 mg</t>
        </is>
      </c>
      <c r="D104" t="inlineStr">
        <is>
          <t>20 mg comp.x 30</t>
        </is>
      </c>
      <c r="E104" s="2" t="n">
        <v>48742.06</v>
      </c>
      <c r="F104" s="2" t="n">
        <v>51660.23</v>
      </c>
      <c r="G104" s="2">
        <f>IFERROR(F104/30,"")</f>
        <v/>
      </c>
      <c r="H104" s="6">
        <f>IFERROR((F104-E104)/E104,"")</f>
        <v/>
      </c>
      <c r="I104" s="6">
        <f>IFERROR((G104-G99)/G99,"")</f>
        <v/>
      </c>
      <c r="J104" s="6">
        <f>IFERROR((G104-G88)/G88,"")</f>
        <v/>
      </c>
      <c r="K104" s="3" t="n">
        <v>27814</v>
      </c>
      <c r="L104" s="6">
        <f>IFERROR(K104/SUM($K$88:$K$135),"")</f>
        <v/>
      </c>
      <c r="M104" s="8" t="n">
        <v>17</v>
      </c>
    </row>
    <row r="105">
      <c r="A105" t="inlineStr">
        <is>
          <t>Roemmers</t>
        </is>
      </c>
      <c r="B105" t="inlineStr">
        <is>
          <t>ROVARTAL</t>
        </is>
      </c>
      <c r="C105" t="inlineStr">
        <is>
          <t>20 mg</t>
        </is>
      </c>
      <c r="D105" t="inlineStr">
        <is>
          <t>20 mg comp.rec.x 60</t>
        </is>
      </c>
      <c r="E105" s="2" t="n">
        <v>87531</v>
      </c>
      <c r="F105" s="2" t="n">
        <v>90069</v>
      </c>
      <c r="G105" s="2">
        <f>IFERROR(F105/60,"")</f>
        <v/>
      </c>
      <c r="H105" s="6">
        <f>IFERROR((F105-E105)/E105,"")</f>
        <v/>
      </c>
      <c r="I105" s="6">
        <f>IFERROR((G105-G99)/G99,"")</f>
        <v/>
      </c>
      <c r="J105" s="6">
        <f>IFERROR((G105-G88)/G88,"")</f>
        <v/>
      </c>
      <c r="K105" s="3" t="n">
        <v>24714</v>
      </c>
      <c r="L105" s="6">
        <f>IFERROR(K105/SUM($K$88:$K$135),"")</f>
        <v/>
      </c>
      <c r="M105" s="8" t="n">
        <v>18</v>
      </c>
    </row>
    <row r="106">
      <c r="A106" t="inlineStr">
        <is>
          <t>Casasco</t>
        </is>
      </c>
      <c r="B106" t="inlineStr">
        <is>
          <t>HIPOLIPOL</t>
        </is>
      </c>
      <c r="C106" t="inlineStr">
        <is>
          <t>20 mg</t>
        </is>
      </c>
      <c r="D106" t="inlineStr">
        <is>
          <t>20 mg comp.rec.x 28</t>
        </is>
      </c>
      <c r="E106" s="2" t="n">
        <v>40706.58</v>
      </c>
      <c r="F106" s="2" t="n">
        <v>41887.07</v>
      </c>
      <c r="G106" s="2">
        <f>IFERROR(F106/28,"")</f>
        <v/>
      </c>
      <c r="H106" s="6">
        <f>IFERROR((F106-E106)/E106,"")</f>
        <v/>
      </c>
      <c r="I106" s="6">
        <f>IFERROR((G106-G99)/G99,"")</f>
        <v/>
      </c>
      <c r="J106" s="6">
        <f>IFERROR((G106-G88)/G88,"")</f>
        <v/>
      </c>
      <c r="K106" s="3" t="n">
        <v>24642</v>
      </c>
      <c r="L106" s="6">
        <f>IFERROR(K106/SUM($K$88:$K$135),"")</f>
        <v/>
      </c>
      <c r="M106" s="8" t="n">
        <v>19</v>
      </c>
    </row>
    <row r="107">
      <c r="A107" t="inlineStr">
        <is>
          <t>Richmond</t>
        </is>
      </c>
      <c r="B107" t="inlineStr">
        <is>
          <t>BILIP 20</t>
        </is>
      </c>
      <c r="C107" t="inlineStr">
        <is>
          <t>20 mg</t>
        </is>
      </c>
      <c r="D107" t="inlineStr">
        <is>
          <t>20 mg comp.x 30</t>
        </is>
      </c>
      <c r="E107" s="2" t="n">
        <v>47595.72</v>
      </c>
      <c r="F107" s="2" t="n">
        <v>49023.59</v>
      </c>
      <c r="G107" s="2">
        <f>IFERROR(F107/30,"")</f>
        <v/>
      </c>
      <c r="H107" s="6">
        <f>IFERROR((F107-E107)/E107,"")</f>
        <v/>
      </c>
      <c r="I107" s="6">
        <f>IFERROR((G107-G99)/G99,"")</f>
        <v/>
      </c>
      <c r="J107" s="6">
        <f>IFERROR((G107-G88)/G88,"")</f>
        <v/>
      </c>
      <c r="K107" s="3" t="n">
        <v>22828</v>
      </c>
      <c r="L107" s="6">
        <f>IFERROR(K107/SUM($K$88:$K$135),"")</f>
        <v/>
      </c>
      <c r="M107" s="8" t="n">
        <v>20</v>
      </c>
    </row>
    <row r="108">
      <c r="A108" t="inlineStr">
        <is>
          <t>Lazar</t>
        </is>
      </c>
      <c r="B108" t="inlineStr">
        <is>
          <t>ASTENDE</t>
        </is>
      </c>
      <c r="C108" t="inlineStr">
        <is>
          <t>20 mg</t>
        </is>
      </c>
      <c r="D108" t="inlineStr">
        <is>
          <t>20 mg comp.rec.x 30</t>
        </is>
      </c>
      <c r="E108" s="2" t="n">
        <v>41109.67</v>
      </c>
      <c r="F108" s="2" t="n">
        <v>43740.12</v>
      </c>
      <c r="G108" s="2">
        <f>IFERROR(F108/30,"")</f>
        <v/>
      </c>
      <c r="H108" s="6">
        <f>IFERROR((F108-E108)/E108,"")</f>
        <v/>
      </c>
      <c r="I108" s="6">
        <f>IFERROR((G108-G99)/G99,"")</f>
        <v/>
      </c>
      <c r="J108" s="6">
        <f>IFERROR((G108-G88)/G88,"")</f>
        <v/>
      </c>
      <c r="K108" s="3" t="n">
        <v>16443</v>
      </c>
      <c r="L108" s="6">
        <f>IFERROR(K108/SUM($K$88:$K$135),"")</f>
        <v/>
      </c>
      <c r="M108" s="8" t="n">
        <v>21</v>
      </c>
    </row>
    <row r="109">
      <c r="A109" t="inlineStr">
        <is>
          <t>Eczane</t>
        </is>
      </c>
      <c r="B109" t="inlineStr">
        <is>
          <t>ROVASTANE</t>
        </is>
      </c>
      <c r="C109" t="inlineStr">
        <is>
          <t>20 mg</t>
        </is>
      </c>
      <c r="D109" t="inlineStr">
        <is>
          <t>20 mg comp.rec.x 30</t>
        </is>
      </c>
      <c r="E109" s="2" t="n">
        <v>25727.52</v>
      </c>
      <c r="F109" s="2" t="n">
        <v>27241.36</v>
      </c>
      <c r="G109" s="2">
        <f>IFERROR(F109/30,"")</f>
        <v/>
      </c>
      <c r="H109" s="6">
        <f>IFERROR((F109-E109)/E109,"")</f>
        <v/>
      </c>
      <c r="I109" s="6">
        <f>IFERROR((G109-G99)/G99,"")</f>
        <v/>
      </c>
      <c r="J109" s="6">
        <f>IFERROR((G109-G88)/G88,"")</f>
        <v/>
      </c>
      <c r="K109" s="3" t="n">
        <v>16127</v>
      </c>
      <c r="L109" s="6">
        <f>IFERROR(K109/SUM($K$88:$K$135),"")</f>
        <v/>
      </c>
      <c r="M109" s="8" t="n">
        <v>22</v>
      </c>
    </row>
    <row r="110">
      <c r="A110" t="inlineStr">
        <is>
          <t>Eczane</t>
        </is>
      </c>
      <c r="B110" t="inlineStr">
        <is>
          <t>ROVASTANE</t>
        </is>
      </c>
      <c r="C110" t="inlineStr">
        <is>
          <t>20 mg</t>
        </is>
      </c>
      <c r="D110" t="inlineStr">
        <is>
          <t>20 mg comp.rec.x 500</t>
        </is>
      </c>
      <c r="E110" s="2" t="n">
        <v>346927.47</v>
      </c>
      <c r="F110" s="2" t="n">
        <v>367341.04</v>
      </c>
      <c r="G110" s="2">
        <f>IFERROR(F110/500,"")</f>
        <v/>
      </c>
      <c r="H110" s="6">
        <f>IFERROR((F110-E110)/E110,"")</f>
        <v/>
      </c>
      <c r="I110" s="6">
        <f>IFERROR((G110-G99)/G99,"")</f>
        <v/>
      </c>
      <c r="J110" s="6">
        <f>IFERROR((G110-G88)/G88,"")</f>
        <v/>
      </c>
      <c r="K110" s="3" t="n">
        <v>16127</v>
      </c>
      <c r="L110" s="6">
        <f>IFERROR(K110/SUM($K$88:$K$135),"")</f>
        <v/>
      </c>
      <c r="M110" s="8" t="n">
        <v>23</v>
      </c>
    </row>
    <row r="111">
      <c r="A111" t="inlineStr">
        <is>
          <t>Bagó</t>
        </is>
      </c>
      <c r="B111" t="inlineStr">
        <is>
          <t>ROSUVAST 20</t>
        </is>
      </c>
      <c r="C111" t="inlineStr">
        <is>
          <t>20 mg</t>
        </is>
      </c>
      <c r="D111" t="inlineStr">
        <is>
          <t>20 mg comp.x 60</t>
        </is>
      </c>
      <c r="E111" s="2" t="n">
        <v>86708.95</v>
      </c>
      <c r="F111" s="2" t="n">
        <v>88642.56</v>
      </c>
      <c r="G111" s="2">
        <f>IFERROR(F111/60,"")</f>
        <v/>
      </c>
      <c r="H111" s="6">
        <f>IFERROR((F111-E111)/E111,"")</f>
        <v/>
      </c>
      <c r="I111" s="6">
        <f>IFERROR((G111-G99)/G99,"")</f>
        <v/>
      </c>
      <c r="J111" s="6">
        <f>IFERROR((G111-G88)/G88,"")</f>
        <v/>
      </c>
      <c r="K111" s="3" t="n">
        <v>15859</v>
      </c>
      <c r="L111" s="6">
        <f>IFERROR(K111/SUM($K$88:$K$135),"")</f>
        <v/>
      </c>
      <c r="M111" s="8" t="n">
        <v>24</v>
      </c>
    </row>
    <row r="112">
      <c r="A112" t="inlineStr">
        <is>
          <t>Géminis Farmacéutica</t>
        </is>
      </c>
      <c r="B112" t="inlineStr">
        <is>
          <t>ROSUCOL</t>
        </is>
      </c>
      <c r="C112" t="inlineStr">
        <is>
          <t>20 mg</t>
        </is>
      </c>
      <c r="D112" t="inlineStr">
        <is>
          <t>20 mg comp.x 30</t>
        </is>
      </c>
      <c r="E112" s="2" t="n">
        <v>36083.98</v>
      </c>
      <c r="F112" s="2" t="n">
        <v>36986.08</v>
      </c>
      <c r="G112" s="2">
        <f>IFERROR(F112/30,"")</f>
        <v/>
      </c>
      <c r="H112" s="6">
        <f>IFERROR((F112-E112)/E112,"")</f>
        <v/>
      </c>
      <c r="I112" s="6">
        <f>IFERROR((G112-G99)/G99,"")</f>
        <v/>
      </c>
      <c r="J112" s="6">
        <f>IFERROR((G112-G88)/G88,"")</f>
        <v/>
      </c>
      <c r="K112" s="3" t="n">
        <v>11008</v>
      </c>
      <c r="L112" s="6">
        <f>IFERROR(K112/SUM($K$88:$K$135),"")</f>
        <v/>
      </c>
      <c r="M112" s="8" t="n">
        <v>25</v>
      </c>
    </row>
    <row r="113">
      <c r="A113" t="inlineStr">
        <is>
          <t>AstraZeneca</t>
        </is>
      </c>
      <c r="B113" t="inlineStr">
        <is>
          <t>CRESTOR</t>
        </is>
      </c>
      <c r="C113" t="inlineStr">
        <is>
          <t>20 mg</t>
        </is>
      </c>
      <c r="D113" t="inlineStr">
        <is>
          <t>20 mg comp.x 56</t>
        </is>
      </c>
      <c r="E113" s="2" t="n">
        <v>132153.99</v>
      </c>
      <c r="F113" s="2" t="n">
        <v>137493.01</v>
      </c>
      <c r="G113" s="2">
        <f>IFERROR(F113/56,"")</f>
        <v/>
      </c>
      <c r="H113" s="6">
        <f>IFERROR((F113-E113)/E113,"")</f>
        <v/>
      </c>
      <c r="I113" s="6">
        <f>IFERROR((G113-G99)/G99,"")</f>
        <v/>
      </c>
      <c r="J113" s="6">
        <f>IFERROR((G113-G88)/G88,"")</f>
        <v/>
      </c>
      <c r="K113" s="3" t="n">
        <v>10714</v>
      </c>
      <c r="L113" s="6">
        <f>IFERROR(K113/SUM($K$88:$K$135),"")</f>
        <v/>
      </c>
      <c r="M113" s="8" t="n">
        <v>26</v>
      </c>
    </row>
    <row r="114">
      <c r="A114" t="inlineStr">
        <is>
          <t>Baliarda</t>
        </is>
      </c>
      <c r="B114" t="inlineStr">
        <is>
          <t>REOVEX 20</t>
        </is>
      </c>
      <c r="C114" t="inlineStr">
        <is>
          <t>20 mg</t>
        </is>
      </c>
      <c r="D114" t="inlineStr">
        <is>
          <t>20 mg comp.rec.ran.x 60</t>
        </is>
      </c>
      <c r="E114" s="2" t="n">
        <v>80175.38</v>
      </c>
      <c r="F114" s="2" t="n">
        <v>82500.47</v>
      </c>
      <c r="G114" s="2">
        <f>IFERROR(F114/60,"")</f>
        <v/>
      </c>
      <c r="H114" s="6">
        <f>IFERROR((F114-E114)/E114,"")</f>
        <v/>
      </c>
      <c r="I114" s="6">
        <f>IFERROR((G114-G99)/G99,"")</f>
        <v/>
      </c>
      <c r="J114" s="6">
        <f>IFERROR((G114-G88)/G88,"")</f>
        <v/>
      </c>
      <c r="K114" s="3" t="n">
        <v>10190</v>
      </c>
      <c r="L114" s="6">
        <f>IFERROR(K114/SUM($K$88:$K$135),"")</f>
        <v/>
      </c>
      <c r="M114" s="8" t="n">
        <v>27</v>
      </c>
    </row>
    <row r="115">
      <c r="A115" t="inlineStr">
        <is>
          <t>Casasco</t>
        </is>
      </c>
      <c r="B115" t="inlineStr">
        <is>
          <t>HIPOLIPOL</t>
        </is>
      </c>
      <c r="C115" t="inlineStr">
        <is>
          <t>20 mg</t>
        </is>
      </c>
      <c r="D115" t="inlineStr">
        <is>
          <t>20 mg comp.rec.x 56</t>
        </is>
      </c>
      <c r="E115" s="2" t="n">
        <v>77469.49000000001</v>
      </c>
      <c r="F115" s="2" t="n">
        <v>79716.11</v>
      </c>
      <c r="G115" s="2">
        <f>IFERROR(F115/56,"")</f>
        <v/>
      </c>
      <c r="H115" s="6">
        <f>IFERROR((F115-E115)/E115,"")</f>
        <v/>
      </c>
      <c r="I115" s="6">
        <f>IFERROR((G115-G99)/G99,"")</f>
        <v/>
      </c>
      <c r="J115" s="6">
        <f>IFERROR((G115-G88)/G88,"")</f>
        <v/>
      </c>
      <c r="K115" s="3" t="n">
        <v>8795</v>
      </c>
      <c r="L115" s="6">
        <f>IFERROR(K115/SUM($K$88:$K$135),"")</f>
        <v/>
      </c>
      <c r="M115" s="8" t="n">
        <v>28</v>
      </c>
    </row>
    <row r="116">
      <c r="A116" t="inlineStr">
        <is>
          <t>Eurofarma</t>
        </is>
      </c>
      <c r="B116" t="inlineStr">
        <is>
          <t>ROSULIP</t>
        </is>
      </c>
      <c r="C116" t="inlineStr">
        <is>
          <t>20 mg</t>
        </is>
      </c>
      <c r="D116" t="inlineStr">
        <is>
          <t>20 mg comp.x 30</t>
        </is>
      </c>
      <c r="E116" s="2" t="n">
        <v>43348.47</v>
      </c>
      <c r="F116" s="2" t="n">
        <v>45943.74</v>
      </c>
      <c r="G116" s="2">
        <f>IFERROR(F116/30,"")</f>
        <v/>
      </c>
      <c r="H116" s="6">
        <f>IFERROR((F116-E116)/E116,"")</f>
        <v/>
      </c>
      <c r="I116" s="6">
        <f>IFERROR((G116-G99)/G99,"")</f>
        <v/>
      </c>
      <c r="J116" s="6">
        <f>IFERROR((G116-G88)/G88,"")</f>
        <v/>
      </c>
      <c r="K116" s="3" t="n">
        <v>6377</v>
      </c>
      <c r="L116" s="6">
        <f>IFERROR(K116/SUM($K$88:$K$135),"")</f>
        <v/>
      </c>
      <c r="M116" s="8" t="n">
        <v>29</v>
      </c>
    </row>
    <row r="117">
      <c r="A117" t="inlineStr">
        <is>
          <t>Microsules Arg.</t>
        </is>
      </c>
      <c r="B117" t="inlineStr">
        <is>
          <t>TURBULINA</t>
        </is>
      </c>
      <c r="C117" t="inlineStr">
        <is>
          <t>20 mg</t>
        </is>
      </c>
      <c r="D117" t="inlineStr">
        <is>
          <t>20 mg comp.rec.x 30</t>
        </is>
      </c>
      <c r="E117" s="2" t="n">
        <v>41729.77</v>
      </c>
      <c r="F117" s="2" t="n">
        <v>42939.93</v>
      </c>
      <c r="G117" s="2">
        <f>IFERROR(F117/30,"")</f>
        <v/>
      </c>
      <c r="H117" s="6">
        <f>IFERROR((F117-E117)/E117,"")</f>
        <v/>
      </c>
      <c r="I117" s="6">
        <f>IFERROR((G117-G99)/G99,"")</f>
        <v/>
      </c>
      <c r="J117" s="6">
        <f>IFERROR((G117-G88)/G88,"")</f>
        <v/>
      </c>
      <c r="K117" s="3" t="n">
        <v>4843</v>
      </c>
      <c r="L117" s="6">
        <f>IFERROR(K117/SUM($K$88:$K$135),"")</f>
        <v/>
      </c>
      <c r="M117" s="8" t="n">
        <v>30</v>
      </c>
    </row>
    <row r="118">
      <c r="A118" t="inlineStr">
        <is>
          <t>Craveri</t>
        </is>
      </c>
      <c r="B118" t="inlineStr">
        <is>
          <t>LIPOGLUTAREN 20</t>
        </is>
      </c>
      <c r="C118" t="inlineStr">
        <is>
          <t>20 mg</t>
        </is>
      </c>
      <c r="D118" t="inlineStr">
        <is>
          <t>20 mg comp.rec.x 30</t>
        </is>
      </c>
      <c r="E118" s="2" t="n">
        <v>45520.38</v>
      </c>
      <c r="F118" s="2" t="n">
        <v>48998.14</v>
      </c>
      <c r="G118" s="2">
        <f>IFERROR(F118/30,"")</f>
        <v/>
      </c>
      <c r="H118" s="6">
        <f>IFERROR((F118-E118)/E118,"")</f>
        <v/>
      </c>
      <c r="I118" s="6">
        <f>IFERROR((G118-G99)/G99,"")</f>
        <v/>
      </c>
      <c r="J118" s="6">
        <f>IFERROR((G118-G88)/G88,"")</f>
        <v/>
      </c>
      <c r="K118" s="3" t="n">
        <v>2768</v>
      </c>
      <c r="L118" s="6">
        <f>IFERROR(K118/SUM($K$88:$K$135),"")</f>
        <v/>
      </c>
      <c r="M118" s="8" t="n">
        <v>31</v>
      </c>
    </row>
    <row r="119">
      <c r="A119" t="inlineStr">
        <is>
          <t>Elea</t>
        </is>
      </c>
      <c r="B119" t="inlineStr">
        <is>
          <t>RABLOC</t>
        </is>
      </c>
      <c r="C119" t="inlineStr">
        <is>
          <t>20 mg</t>
        </is>
      </c>
      <c r="D119" t="inlineStr">
        <is>
          <t>20 mg comp.x 30</t>
        </is>
      </c>
      <c r="E119" s="2" t="n">
        <v>63010.82</v>
      </c>
      <c r="F119" s="2" t="n">
        <v>67042.25999999999</v>
      </c>
      <c r="G119" s="2">
        <f>IFERROR(F119/30,"")</f>
        <v/>
      </c>
      <c r="H119" s="6">
        <f>IFERROR((F119-E119)/E119,"")</f>
        <v/>
      </c>
      <c r="I119" s="6">
        <f>IFERROR((G119-G99)/G99,"")</f>
        <v/>
      </c>
      <c r="J119" s="6">
        <f>IFERROR((G119-G88)/G88,"")</f>
        <v/>
      </c>
      <c r="K119" s="3" t="n">
        <v>2328</v>
      </c>
      <c r="L119" s="6">
        <f>IFERROR(K119/SUM($K$88:$K$135),"")</f>
        <v/>
      </c>
      <c r="M119" s="8" t="n">
        <v>32</v>
      </c>
    </row>
    <row r="120">
      <c r="A120" t="inlineStr">
        <is>
          <t>Biotenk</t>
        </is>
      </c>
      <c r="B120" t="inlineStr">
        <is>
          <t>ROSTAN</t>
        </is>
      </c>
      <c r="C120" t="inlineStr">
        <is>
          <t>20 mg</t>
        </is>
      </c>
      <c r="D120" t="inlineStr">
        <is>
          <t>20 mg comp.rec.x 30</t>
        </is>
      </c>
      <c r="E120" s="2" t="n">
        <v>36368.4</v>
      </c>
      <c r="F120" s="2" t="n">
        <v>38957.83</v>
      </c>
      <c r="G120" s="2">
        <f>IFERROR(F120/30,"")</f>
        <v/>
      </c>
      <c r="H120" s="6">
        <f>IFERROR((F120-E120)/E120,"")</f>
        <v/>
      </c>
      <c r="I120" s="6">
        <f>IFERROR((G120-G99)/G99,"")</f>
        <v/>
      </c>
      <c r="J120" s="6">
        <f>IFERROR((G120-G88)/G88,"")</f>
        <v/>
      </c>
      <c r="K120" s="3" t="n">
        <v>1430</v>
      </c>
      <c r="L120" s="6">
        <f>IFERROR(K120/SUM($K$88:$K$135),"")</f>
        <v/>
      </c>
      <c r="M120" s="8" t="n">
        <v>33</v>
      </c>
    </row>
    <row r="121">
      <c r="A121" t="inlineStr">
        <is>
          <t>Géminis Farmacéutica</t>
        </is>
      </c>
      <c r="B121" t="inlineStr">
        <is>
          <t>ROSUCOL</t>
        </is>
      </c>
      <c r="C121" t="inlineStr">
        <is>
          <t>20 mg</t>
        </is>
      </c>
      <c r="D121" t="inlineStr">
        <is>
          <t>20 mg comp.x 60</t>
        </is>
      </c>
      <c r="E121" s="2" t="n">
        <v>73494.48</v>
      </c>
      <c r="F121" s="2" t="n">
        <v>75331.84</v>
      </c>
      <c r="G121" s="2">
        <f>IFERROR(F121/60,"")</f>
        <v/>
      </c>
      <c r="H121" s="6">
        <f>IFERROR((F121-E121)/E121,"")</f>
        <v/>
      </c>
      <c r="I121" s="6">
        <f>IFERROR((G121-G99)/G99,"")</f>
        <v/>
      </c>
      <c r="J121" s="6">
        <f>IFERROR((G121-G88)/G88,"")</f>
        <v/>
      </c>
      <c r="K121" s="3" t="n">
        <v>875</v>
      </c>
      <c r="L121" s="6">
        <f>IFERROR(K121/SUM($K$88:$K$135),"")</f>
        <v/>
      </c>
      <c r="M121" s="8" t="n">
        <v>34</v>
      </c>
    </row>
    <row r="122">
      <c r="A122" t="inlineStr">
        <is>
          <t>Géminis Farmacéutica</t>
        </is>
      </c>
      <c r="B122" t="inlineStr">
        <is>
          <t>ROSUCOL</t>
        </is>
      </c>
      <c r="C122" t="inlineStr">
        <is>
          <t>20 mg</t>
        </is>
      </c>
      <c r="D122" t="inlineStr">
        <is>
          <t>20 mg comp.x 28</t>
        </is>
      </c>
      <c r="E122" s="2" t="n">
        <v>37857.25</v>
      </c>
      <c r="F122" s="2" t="n">
        <v>38803.68</v>
      </c>
      <c r="G122" s="2">
        <f>IFERROR(F122/28,"")</f>
        <v/>
      </c>
      <c r="H122" s="6">
        <f>IFERROR((F122-E122)/E122,"")</f>
        <v/>
      </c>
      <c r="I122" s="6">
        <f>IFERROR((G122-G99)/G99,"")</f>
        <v/>
      </c>
      <c r="J122" s="6">
        <f>IFERROR((G122-G88)/G88,"")</f>
        <v/>
      </c>
      <c r="K122" s="3" t="n">
        <v>706</v>
      </c>
      <c r="L122" s="6">
        <f>IFERROR(K122/SUM($K$88:$K$135),"")</f>
        <v/>
      </c>
      <c r="M122" s="8" t="n">
        <v>35</v>
      </c>
    </row>
    <row r="123">
      <c r="A123" t="inlineStr">
        <is>
          <t>Francelab</t>
        </is>
      </c>
      <c r="B123" t="inlineStr">
        <is>
          <t>APRENTICE</t>
        </is>
      </c>
      <c r="C123" t="inlineStr">
        <is>
          <t>20 mg</t>
        </is>
      </c>
      <c r="D123" t="inlineStr">
        <is>
          <t>20 mg comp.ran.x 30</t>
        </is>
      </c>
      <c r="E123" s="2" t="n">
        <v>36794.03</v>
      </c>
      <c r="F123" s="2" t="n">
        <v>37713.88</v>
      </c>
      <c r="G123" s="2">
        <f>IFERROR(F123/30,"")</f>
        <v/>
      </c>
      <c r="H123" s="6">
        <f>IFERROR((F123-E123)/E123,"")</f>
        <v/>
      </c>
      <c r="I123" s="6">
        <f>IFERROR((G123-G99)/G99,"")</f>
        <v/>
      </c>
      <c r="J123" s="6">
        <f>IFERROR((G123-G88)/G88,"")</f>
        <v/>
      </c>
      <c r="K123" s="3" t="n">
        <v>652</v>
      </c>
      <c r="L123" s="6">
        <f>IFERROR(K123/SUM($K$88:$K$135),"")</f>
        <v/>
      </c>
      <c r="M123" s="8" t="n">
        <v>36</v>
      </c>
    </row>
    <row r="124">
      <c r="A124" t="inlineStr">
        <is>
          <t>Savant Generic</t>
        </is>
      </c>
      <c r="B124" t="inlineStr">
        <is>
          <t>COLESTRAX</t>
        </is>
      </c>
      <c r="C124" t="inlineStr">
        <is>
          <t>20 mg</t>
        </is>
      </c>
      <c r="D124" t="inlineStr">
        <is>
          <t>20 mg comp.x 28</t>
        </is>
      </c>
      <c r="E124" s="2" t="n">
        <v>28813.18</v>
      </c>
      <c r="F124" s="2" t="n">
        <v>28813.18</v>
      </c>
      <c r="G124" s="2">
        <f>IFERROR(F124/28,"")</f>
        <v/>
      </c>
      <c r="H124" s="6">
        <f>IFERROR((F124-E124)/E124,"")</f>
        <v/>
      </c>
      <c r="I124" s="6">
        <f>IFERROR((G124-G99)/G99,"")</f>
        <v/>
      </c>
      <c r="J124" s="6">
        <f>IFERROR((G124-G88)/G88,"")</f>
        <v/>
      </c>
      <c r="K124" s="3" t="n">
        <v>160</v>
      </c>
      <c r="L124" s="6">
        <f>IFERROR(K124/SUM($K$88:$K$135),"")</f>
        <v/>
      </c>
      <c r="M124" s="8" t="n">
        <v>37</v>
      </c>
    </row>
    <row r="125">
      <c r="A125" t="inlineStr">
        <is>
          <t>Lafedar</t>
        </is>
      </c>
      <c r="B125" t="inlineStr">
        <is>
          <t>TIALIPOL</t>
        </is>
      </c>
      <c r="C125" t="inlineStr">
        <is>
          <t>20 mg</t>
        </is>
      </c>
      <c r="D125" t="inlineStr">
        <is>
          <t>20 mg comp.x 30</t>
        </is>
      </c>
      <c r="E125" s="2" t="n">
        <v>39195.67</v>
      </c>
      <c r="F125" s="2" t="n">
        <v>41703.64</v>
      </c>
      <c r="G125" s="2">
        <f>IFERROR(F125/30,"")</f>
        <v/>
      </c>
      <c r="H125" s="6">
        <f>IFERROR((F125-E125)/E125,"")</f>
        <v/>
      </c>
      <c r="I125" s="6">
        <f>IFERROR((G125-G99)/G99,"")</f>
        <v/>
      </c>
      <c r="J125" s="6">
        <f>IFERROR((G125-G88)/G88,"")</f>
        <v/>
      </c>
      <c r="K125" s="3" t="n">
        <v>104</v>
      </c>
      <c r="L125" s="6">
        <f>IFERROR(K125/SUM($K$88:$K$135),"")</f>
        <v/>
      </c>
      <c r="M125" s="8" t="n">
        <v>38</v>
      </c>
    </row>
    <row r="126">
      <c r="A126" t="inlineStr">
        <is>
          <t>Klonal</t>
        </is>
      </c>
      <c r="B126" t="inlineStr">
        <is>
          <t>ROVESTOR</t>
        </is>
      </c>
      <c r="C126" t="inlineStr">
        <is>
          <t>20 mg</t>
        </is>
      </c>
      <c r="D126" t="inlineStr">
        <is>
          <t>20 mg comp. x 30</t>
        </is>
      </c>
      <c r="E126" s="2" t="n">
        <v>29943.13</v>
      </c>
      <c r="F126" s="2" t="n">
        <v>34434.6</v>
      </c>
      <c r="G126" s="2">
        <f>IFERROR(F126/30,"")</f>
        <v/>
      </c>
      <c r="H126" s="6">
        <f>IFERROR((F126-E126)/E126,"")</f>
        <v/>
      </c>
      <c r="I126" s="6">
        <f>IFERROR((G126-G99)/G99,"")</f>
        <v/>
      </c>
      <c r="J126" s="6">
        <f>IFERROR((G126-G88)/G88,"")</f>
        <v/>
      </c>
      <c r="K126" s="3" t="n">
        <v>49</v>
      </c>
      <c r="L126" s="6">
        <f>IFERROR(K126/SUM($K$88:$K$135),"")</f>
        <v/>
      </c>
      <c r="M126" s="8" t="n">
        <v>39</v>
      </c>
    </row>
    <row r="127">
      <c r="A127" t="inlineStr">
        <is>
          <t>Denver Farma</t>
        </is>
      </c>
      <c r="B127" t="inlineStr">
        <is>
          <t>NONLIPID 20 MG</t>
        </is>
      </c>
      <c r="C127" t="inlineStr">
        <is>
          <t>20 mg</t>
        </is>
      </c>
      <c r="D127" t="inlineStr">
        <is>
          <t>20 mg comp.x 30</t>
        </is>
      </c>
      <c r="E127" s="2" t="n">
        <v>37134.41</v>
      </c>
      <c r="F127" s="2" t="n">
        <v>37928.55</v>
      </c>
      <c r="G127" s="2">
        <f>IFERROR(F127/30,"")</f>
        <v/>
      </c>
      <c r="H127" s="6">
        <f>IFERROR((F127-E127)/E127,"")</f>
        <v/>
      </c>
      <c r="I127" s="6">
        <f>IFERROR((G127-G99)/G99,"")</f>
        <v/>
      </c>
      <c r="J127" s="6">
        <f>IFERROR((G127-G88)/G88,"")</f>
        <v/>
      </c>
      <c r="K127" s="3" t="n"/>
      <c r="L127" s="6">
        <f>IFERROR(K127/SUM($K$88:$K$135),"")</f>
        <v/>
      </c>
      <c r="M127" s="8" t="n">
        <v>40</v>
      </c>
    </row>
    <row r="128">
      <c r="A128" t="inlineStr">
        <is>
          <t>Laboratorios Bernabó</t>
        </is>
      </c>
      <c r="B128" t="inlineStr">
        <is>
          <t>ROSUBER</t>
        </is>
      </c>
      <c r="C128" t="inlineStr">
        <is>
          <t>20 mg</t>
        </is>
      </c>
      <c r="D128" t="inlineStr">
        <is>
          <t>20 mg comp.x 30</t>
        </is>
      </c>
      <c r="E128" s="2" t="n">
        <v>40273.08</v>
      </c>
      <c r="F128" s="2" t="n">
        <v>42649.19</v>
      </c>
      <c r="G128" s="2">
        <f>IFERROR(F128/30,"")</f>
        <v/>
      </c>
      <c r="H128" s="6">
        <f>IFERROR((F128-E128)/E128,"")</f>
        <v/>
      </c>
      <c r="I128" s="6">
        <f>IFERROR((G128-G99)/G99,"")</f>
        <v/>
      </c>
      <c r="J128" s="6">
        <f>IFERROR((G128-G88)/G88,"")</f>
        <v/>
      </c>
      <c r="K128" s="3" t="n"/>
      <c r="L128" s="6">
        <f>IFERROR(K128/SUM($K$88:$K$135),"")</f>
        <v/>
      </c>
      <c r="M128" s="8" t="n">
        <v>41</v>
      </c>
    </row>
    <row r="129">
      <c r="A129" t="inlineStr">
        <is>
          <t>Lepetit</t>
        </is>
      </c>
      <c r="B129" t="inlineStr">
        <is>
          <t>ROSUVASTATINA ROSUX</t>
        </is>
      </c>
      <c r="C129" t="inlineStr">
        <is>
          <t>20 mg</t>
        </is>
      </c>
      <c r="D129" t="inlineStr">
        <is>
          <t>20 mg comp.x 30</t>
        </is>
      </c>
      <c r="E129" s="2" t="n">
        <v>37230</v>
      </c>
      <c r="F129" s="2" t="n">
        <v>42820</v>
      </c>
      <c r="G129" s="2">
        <f>IFERROR(F129/30,"")</f>
        <v/>
      </c>
      <c r="H129" s="6">
        <f>IFERROR((F129-E129)/E129,"")</f>
        <v/>
      </c>
      <c r="I129" s="6">
        <f>IFERROR((G129-G99)/G99,"")</f>
        <v/>
      </c>
      <c r="J129" s="6">
        <f>IFERROR((G129-G88)/G88,"")</f>
        <v/>
      </c>
      <c r="K129" s="3" t="n"/>
      <c r="L129" s="6">
        <f>IFERROR(K129/SUM($K$88:$K$135),"")</f>
        <v/>
      </c>
      <c r="M129" s="8" t="n">
        <v>42</v>
      </c>
    </row>
    <row r="130">
      <c r="A130" t="inlineStr">
        <is>
          <t>Richet</t>
        </is>
      </c>
      <c r="B130" t="inlineStr">
        <is>
          <t>ROSUVASTATINA RICHET</t>
        </is>
      </c>
      <c r="C130" t="inlineStr">
        <is>
          <t>20 mg</t>
        </is>
      </c>
      <c r="D130" t="inlineStr">
        <is>
          <t>20 mg comp.x 28</t>
        </is>
      </c>
      <c r="E130" s="2" t="n">
        <v>34287.99</v>
      </c>
      <c r="F130" s="2" t="n">
        <v>34802.31</v>
      </c>
      <c r="G130" s="2">
        <f>IFERROR(F130/28,"")</f>
        <v/>
      </c>
      <c r="H130" s="6">
        <f>IFERROR((F130-E130)/E130,"")</f>
        <v/>
      </c>
      <c r="I130" s="6">
        <f>IFERROR((G130-G99)/G99,"")</f>
        <v/>
      </c>
      <c r="J130" s="6">
        <f>IFERROR((G130-G88)/G88,"")</f>
        <v/>
      </c>
      <c r="K130" s="3" t="n"/>
      <c r="L130" s="6">
        <f>IFERROR(K130/SUM($K$88:$K$135),"")</f>
        <v/>
      </c>
      <c r="M130" s="8" t="n">
        <v>43</v>
      </c>
    </row>
    <row r="131">
      <c r="A131" t="inlineStr">
        <is>
          <t>Richet</t>
        </is>
      </c>
      <c r="B131" t="inlineStr">
        <is>
          <t>ROSUVASTATINA RICHET</t>
        </is>
      </c>
      <c r="C131" t="inlineStr">
        <is>
          <t>20 mg</t>
        </is>
      </c>
      <c r="D131" t="inlineStr">
        <is>
          <t>20 mg comp.x 30</t>
        </is>
      </c>
      <c r="E131" s="2" t="n">
        <v>34915.02</v>
      </c>
      <c r="F131" s="2" t="n">
        <v>35438.74</v>
      </c>
      <c r="G131" s="2">
        <f>IFERROR(F131/30,"")</f>
        <v/>
      </c>
      <c r="H131" s="6">
        <f>IFERROR((F131-E131)/E131,"")</f>
        <v/>
      </c>
      <c r="I131" s="6">
        <f>IFERROR((G131-G99)/G99,"")</f>
        <v/>
      </c>
      <c r="J131" s="6">
        <f>IFERROR((G131-G88)/G88,"")</f>
        <v/>
      </c>
      <c r="K131" s="3" t="n"/>
      <c r="L131" s="6">
        <f>IFERROR(K131/SUM($K$88:$K$135),"")</f>
        <v/>
      </c>
      <c r="M131" s="8" t="n">
        <v>44</v>
      </c>
    </row>
    <row r="132">
      <c r="A132" t="inlineStr">
        <is>
          <t>Richet</t>
        </is>
      </c>
      <c r="B132" t="inlineStr">
        <is>
          <t>ROSUVASTATINA RICHET</t>
        </is>
      </c>
      <c r="C132" t="inlineStr">
        <is>
          <t>20 mg</t>
        </is>
      </c>
      <c r="D132" t="inlineStr">
        <is>
          <t>20 mg comp.rec.x 60</t>
        </is>
      </c>
      <c r="E132" s="2" t="n">
        <v>68900</v>
      </c>
      <c r="F132" s="2" t="n">
        <v>69933.5</v>
      </c>
      <c r="G132" s="2">
        <f>IFERROR(F132/60,"")</f>
        <v/>
      </c>
      <c r="H132" s="6">
        <f>IFERROR((F132-E132)/E132,"")</f>
        <v/>
      </c>
      <c r="I132" s="6">
        <f>IFERROR((G132-G99)/G99,"")</f>
        <v/>
      </c>
      <c r="J132" s="6">
        <f>IFERROR((G132-G88)/G88,"")</f>
        <v/>
      </c>
      <c r="K132" s="3" t="n"/>
      <c r="L132" s="6">
        <f>IFERROR(K132/SUM($K$88:$K$135),"")</f>
        <v/>
      </c>
      <c r="M132" s="8" t="n">
        <v>45</v>
      </c>
    </row>
    <row r="133">
      <c r="A133" t="inlineStr">
        <is>
          <t>Sidus</t>
        </is>
      </c>
      <c r="B133" t="inlineStr">
        <is>
          <t>PARASUL</t>
        </is>
      </c>
      <c r="C133" t="inlineStr">
        <is>
          <t>20 mg</t>
        </is>
      </c>
      <c r="D133" t="inlineStr">
        <is>
          <t>20 mg comp.x 28</t>
        </is>
      </c>
      <c r="E133" s="2" t="n">
        <v>72210.03</v>
      </c>
      <c r="F133" s="2" t="n">
        <v>72210.03</v>
      </c>
      <c r="G133" s="2">
        <f>IFERROR(F133/28,"")</f>
        <v/>
      </c>
      <c r="H133" s="6">
        <f>IFERROR((F133-E133)/E133,"")</f>
        <v/>
      </c>
      <c r="I133" s="6">
        <f>IFERROR((G133-G99)/G99,"")</f>
        <v/>
      </c>
      <c r="J133" s="6">
        <f>IFERROR((G133-G88)/G88,"")</f>
        <v/>
      </c>
      <c r="K133" s="3" t="n"/>
      <c r="L133" s="6">
        <f>IFERROR(K133/SUM($K$88:$K$135),"")</f>
        <v/>
      </c>
      <c r="M133" s="8" t="n">
        <v>46</v>
      </c>
    </row>
    <row r="134">
      <c r="A134" t="inlineStr">
        <is>
          <t>Temis-Lostaló</t>
        </is>
      </c>
      <c r="B134" t="inlineStr">
        <is>
          <t>NODIS 20</t>
        </is>
      </c>
      <c r="C134" t="inlineStr">
        <is>
          <t>20 mg</t>
        </is>
      </c>
      <c r="D134" t="inlineStr">
        <is>
          <t>20 mg comp.rec.x 30</t>
        </is>
      </c>
      <c r="E134" s="2" t="n">
        <v>41836.12</v>
      </c>
      <c r="F134" s="2" t="n">
        <v>43047.83</v>
      </c>
      <c r="G134" s="2">
        <f>IFERROR(F134/30,"")</f>
        <v/>
      </c>
      <c r="H134" s="6">
        <f>IFERROR((F134-E134)/E134,"")</f>
        <v/>
      </c>
      <c r="I134" s="6">
        <f>IFERROR((G134-G99)/G99,"")</f>
        <v/>
      </c>
      <c r="J134" s="6">
        <f>IFERROR((G134-G88)/G88,"")</f>
        <v/>
      </c>
      <c r="K134" s="3" t="n"/>
      <c r="L134" s="6">
        <f>IFERROR(K134/SUM($K$88:$K$135),"")</f>
        <v/>
      </c>
      <c r="M134" s="8" t="n">
        <v>47</v>
      </c>
    </row>
    <row r="135">
      <c r="A135" t="inlineStr">
        <is>
          <t>Vannier</t>
        </is>
      </c>
      <c r="B135" t="inlineStr">
        <is>
          <t>ROSUVASTATINA VANNIER</t>
        </is>
      </c>
      <c r="C135" t="inlineStr">
        <is>
          <t>20 mg</t>
        </is>
      </c>
      <c r="D135" t="inlineStr">
        <is>
          <t>20 mg comp.x 30</t>
        </is>
      </c>
      <c r="E135" s="2" t="n">
        <v>39201.57</v>
      </c>
      <c r="F135" s="2" t="n">
        <v>40888.54</v>
      </c>
      <c r="G135" s="2">
        <f>IFERROR(F135/30,"")</f>
        <v/>
      </c>
      <c r="H135" s="6">
        <f>IFERROR((F135-E135)/E135,"")</f>
        <v/>
      </c>
      <c r="I135" s="6">
        <f>IFERROR((G135-G99)/G99,"")</f>
        <v/>
      </c>
      <c r="J135" s="6">
        <f>IFERROR((G135-G88)/G88,"")</f>
        <v/>
      </c>
      <c r="K135" s="3" t="n"/>
      <c r="L135" s="6">
        <f>IFERROR(K135/SUM($K$88:$K$135),"")</f>
        <v/>
      </c>
      <c r="M135" s="8" t="n">
        <v>48</v>
      </c>
    </row>
    <row r="137" ht="20" customHeight="1">
      <c r="A137" s="5" t="inlineStr">
        <is>
          <t>Dosis: 40 mg — rosuvastatina</t>
        </is>
      </c>
    </row>
    <row r="138">
      <c r="A138" t="inlineStr">
        <is>
          <t>Gador</t>
        </is>
      </c>
      <c r="B138" t="inlineStr">
        <is>
          <t>SINLIP</t>
        </is>
      </c>
      <c r="C138" t="inlineStr">
        <is>
          <t>40 mg</t>
        </is>
      </c>
      <c r="D138" t="inlineStr">
        <is>
          <t>40 mg comp.rec.x 30</t>
        </is>
      </c>
      <c r="E138" s="2" t="n">
        <v>73121.72</v>
      </c>
      <c r="F138" s="2" t="n">
        <v>74949.77</v>
      </c>
      <c r="G138" s="2">
        <f>IFERROR(F138/30,"")</f>
        <v/>
      </c>
      <c r="H138" s="6">
        <f>IFERROR((F138-E138)/E138,"")</f>
        <v/>
      </c>
      <c r="I138" s="6">
        <f>IFERROR((G138-G147)/G147,"")</f>
        <v/>
      </c>
      <c r="J138" s="7" t="inlineStr">
        <is>
          <t>Líder</t>
        </is>
      </c>
      <c r="K138" s="3" t="n">
        <v>200220</v>
      </c>
      <c r="L138" s="6">
        <f>IFERROR(K138/SUM($K$138:$K$161),"")</f>
        <v/>
      </c>
      <c r="M138" s="8" t="n">
        <v>1</v>
      </c>
    </row>
    <row r="139">
      <c r="A139" t="inlineStr">
        <is>
          <t>Roemmers</t>
        </is>
      </c>
      <c r="B139" t="inlineStr">
        <is>
          <t>ROVARTAL</t>
        </is>
      </c>
      <c r="C139" t="inlineStr">
        <is>
          <t>40 mg</t>
        </is>
      </c>
      <c r="D139" t="inlineStr">
        <is>
          <t>40 mg comp.rec.x 30</t>
        </is>
      </c>
      <c r="E139" s="2" t="n">
        <v>77840</v>
      </c>
      <c r="F139" s="2" t="n">
        <v>80097</v>
      </c>
      <c r="G139" s="2">
        <f>IFERROR(F139/30,"")</f>
        <v/>
      </c>
      <c r="H139" s="6">
        <f>IFERROR((F139-E139)/E139,"")</f>
        <v/>
      </c>
      <c r="I139" s="6">
        <f>IFERROR((G139-G147)/G147,"")</f>
        <v/>
      </c>
      <c r="J139" s="6">
        <f>IFERROR((G139-G138)/G138,"")</f>
        <v/>
      </c>
      <c r="K139" s="3" t="n">
        <v>126643</v>
      </c>
      <c r="L139" s="6">
        <f>IFERROR(K139/SUM($K$138:$K$161),"")</f>
        <v/>
      </c>
      <c r="M139" s="8" t="n">
        <v>2</v>
      </c>
    </row>
    <row r="140">
      <c r="A140" t="inlineStr">
        <is>
          <t>Bagó</t>
        </is>
      </c>
      <c r="B140" t="inlineStr">
        <is>
          <t>ROSUVAST 40</t>
        </is>
      </c>
      <c r="C140" t="inlineStr">
        <is>
          <t>40 mg</t>
        </is>
      </c>
      <c r="D140" t="inlineStr">
        <is>
          <t>40 mg comp.x 30</t>
        </is>
      </c>
      <c r="E140" s="2" t="n">
        <v>77025.79000000001</v>
      </c>
      <c r="F140" s="2" t="n">
        <v>78743.47</v>
      </c>
      <c r="G140" s="2">
        <f>IFERROR(F140/30,"")</f>
        <v/>
      </c>
      <c r="H140" s="6">
        <f>IFERROR((F140-E140)/E140,"")</f>
        <v/>
      </c>
      <c r="I140" s="6">
        <f>IFERROR((G140-G147)/G147,"")</f>
        <v/>
      </c>
      <c r="J140" s="6">
        <f>IFERROR((G140-G138)/G138,"")</f>
        <v/>
      </c>
      <c r="K140" s="3" t="n">
        <v>96247</v>
      </c>
      <c r="L140" s="6">
        <f>IFERROR(K140/SUM($K$138:$K$161),"")</f>
        <v/>
      </c>
      <c r="M140" s="8" t="n">
        <v>3</v>
      </c>
    </row>
    <row r="141">
      <c r="A141" t="inlineStr">
        <is>
          <t>Baliarda</t>
        </is>
      </c>
      <c r="B141" t="inlineStr">
        <is>
          <t>REOVEX 40</t>
        </is>
      </c>
      <c r="C141" t="inlineStr">
        <is>
          <t>40 mg</t>
        </is>
      </c>
      <c r="D141" t="inlineStr">
        <is>
          <t>40 mg comp.rec.ran.x 30</t>
        </is>
      </c>
      <c r="E141" s="2" t="n">
        <v>70854.73</v>
      </c>
      <c r="F141" s="2" t="n">
        <v>72909.52</v>
      </c>
      <c r="G141" s="2">
        <f>IFERROR(F141/30,"")</f>
        <v/>
      </c>
      <c r="H141" s="6">
        <f>IFERROR((F141-E141)/E141,"")</f>
        <v/>
      </c>
      <c r="I141" s="6">
        <f>IFERROR((G141-G147)/G147,"")</f>
        <v/>
      </c>
      <c r="J141" s="6">
        <f>IFERROR((G141-G138)/G138,"")</f>
        <v/>
      </c>
      <c r="K141" s="3" t="n">
        <v>87157</v>
      </c>
      <c r="L141" s="6">
        <f>IFERROR(K141/SUM($K$138:$K$161),"")</f>
        <v/>
      </c>
      <c r="M141" s="8" t="n">
        <v>4</v>
      </c>
    </row>
    <row r="142">
      <c r="A142" t="inlineStr">
        <is>
          <t>Casasco</t>
        </is>
      </c>
      <c r="B142" t="inlineStr">
        <is>
          <t>HIPOLIPOL</t>
        </is>
      </c>
      <c r="C142" t="inlineStr">
        <is>
          <t>40 mg</t>
        </is>
      </c>
      <c r="D142" t="inlineStr">
        <is>
          <t>40 mg comp.rec.x 30</t>
        </is>
      </c>
      <c r="E142" s="2" t="n">
        <v>70411.33</v>
      </c>
      <c r="F142" s="2" t="n">
        <v>72453.25</v>
      </c>
      <c r="G142" s="2">
        <f>IFERROR(F142/30,"")</f>
        <v/>
      </c>
      <c r="H142" s="6">
        <f>IFERROR((F142-E142)/E142,"")</f>
        <v/>
      </c>
      <c r="I142" s="6">
        <f>IFERROR((G142-G147)/G147,"")</f>
        <v/>
      </c>
      <c r="J142" s="6">
        <f>IFERROR((G142-G138)/G138,"")</f>
        <v/>
      </c>
      <c r="K142" s="3" t="n">
        <v>69089</v>
      </c>
      <c r="L142" s="6">
        <f>IFERROR(K142/SUM($K$138:$K$161),"")</f>
        <v/>
      </c>
      <c r="M142" s="8" t="n">
        <v>5</v>
      </c>
    </row>
    <row r="143">
      <c r="A143" t="inlineStr">
        <is>
          <t>Elea</t>
        </is>
      </c>
      <c r="B143" t="inlineStr">
        <is>
          <t>LIPEX</t>
        </is>
      </c>
      <c r="C143" t="inlineStr">
        <is>
          <t>40 mg</t>
        </is>
      </c>
      <c r="D143" t="inlineStr">
        <is>
          <t>40 mg comp.x 30</t>
        </is>
      </c>
      <c r="E143" s="2" t="n">
        <v>76002.24000000001</v>
      </c>
      <c r="F143" s="2" t="n">
        <v>80630.47</v>
      </c>
      <c r="G143" s="2">
        <f>IFERROR(F143/30,"")</f>
        <v/>
      </c>
      <c r="H143" s="6">
        <f>IFERROR((F143-E143)/E143,"")</f>
        <v/>
      </c>
      <c r="I143" s="6">
        <f>IFERROR((G143-G147)/G147,"")</f>
        <v/>
      </c>
      <c r="J143" s="6">
        <f>IFERROR((G143-G138)/G138,"")</f>
        <v/>
      </c>
      <c r="K143" s="3" t="n">
        <v>45300</v>
      </c>
      <c r="L143" s="6">
        <f>IFERROR(K143/SUM($K$138:$K$161),"")</f>
        <v/>
      </c>
      <c r="M143" s="8" t="n">
        <v>6</v>
      </c>
    </row>
    <row r="144">
      <c r="A144" t="inlineStr">
        <is>
          <t>Bagó</t>
        </is>
      </c>
      <c r="B144" t="inlineStr">
        <is>
          <t>ROSUVAST 40</t>
        </is>
      </c>
      <c r="C144" t="inlineStr">
        <is>
          <t>40 mg</t>
        </is>
      </c>
      <c r="D144" t="inlineStr">
        <is>
          <t>40 mg comp.x 28</t>
        </is>
      </c>
      <c r="E144" s="2" t="n">
        <v>76512.95</v>
      </c>
      <c r="F144" s="2" t="n">
        <v>78471.68000000001</v>
      </c>
      <c r="G144" s="2">
        <f>IFERROR(F144/28,"")</f>
        <v/>
      </c>
      <c r="H144" s="6">
        <f>IFERROR((F144-E144)/E144,"")</f>
        <v/>
      </c>
      <c r="I144" s="6">
        <f>IFERROR((G144-G147)/G147,"")</f>
        <v/>
      </c>
      <c r="J144" s="6">
        <f>IFERROR((G144-G138)/G138,"")</f>
        <v/>
      </c>
      <c r="K144" s="3" t="n">
        <v>41898</v>
      </c>
      <c r="L144" s="6">
        <f>IFERROR(K144/SUM($K$138:$K$161),"")</f>
        <v/>
      </c>
      <c r="M144" s="8" t="n">
        <v>7</v>
      </c>
    </row>
    <row r="145">
      <c r="A145" t="inlineStr">
        <is>
          <t>Nolter</t>
        </is>
      </c>
      <c r="B145" t="inlineStr">
        <is>
          <t>ROSUFEN</t>
        </is>
      </c>
      <c r="C145" t="inlineStr">
        <is>
          <t>40 mg</t>
        </is>
      </c>
      <c r="D145" t="inlineStr">
        <is>
          <t>40 mg comp.rec.x 30</t>
        </is>
      </c>
      <c r="E145" s="2" t="n">
        <v>74531.73</v>
      </c>
      <c r="F145" s="2" t="n">
        <v>78917.17</v>
      </c>
      <c r="G145" s="2">
        <f>IFERROR(F145/30,"")</f>
        <v/>
      </c>
      <c r="H145" s="6">
        <f>IFERROR((F145-E145)/E145,"")</f>
        <v/>
      </c>
      <c r="I145" s="6">
        <f>IFERROR((G145-G147)/G147,"")</f>
        <v/>
      </c>
      <c r="J145" s="6">
        <f>IFERROR((G145-G138)/G138,"")</f>
        <v/>
      </c>
      <c r="K145" s="3" t="n">
        <v>29719</v>
      </c>
      <c r="L145" s="6">
        <f>IFERROR(K145/SUM($K$138:$K$161),"")</f>
        <v/>
      </c>
      <c r="M145" s="8" t="n">
        <v>8</v>
      </c>
    </row>
    <row r="146">
      <c r="A146" t="inlineStr">
        <is>
          <t>Fecofar</t>
        </is>
      </c>
      <c r="B146" t="inlineStr">
        <is>
          <t>ROSUFEC 40</t>
        </is>
      </c>
      <c r="C146" t="inlineStr">
        <is>
          <t>40 mg</t>
        </is>
      </c>
      <c r="D146" t="inlineStr">
        <is>
          <t>40 mg comp.x 30</t>
        </is>
      </c>
      <c r="E146" s="2" t="n">
        <v>55196.32</v>
      </c>
      <c r="F146" s="2" t="n">
        <v>56576.23</v>
      </c>
      <c r="G146" s="2">
        <f>IFERROR(F146/30,"")</f>
        <v/>
      </c>
      <c r="H146" s="6">
        <f>IFERROR((F146-E146)/E146,"")</f>
        <v/>
      </c>
      <c r="I146" s="6">
        <f>IFERROR((G146-G147)/G147,"")</f>
        <v/>
      </c>
      <c r="J146" s="6">
        <f>IFERROR((G146-G138)/G138,"")</f>
        <v/>
      </c>
      <c r="K146" s="3" t="n">
        <v>26321</v>
      </c>
      <c r="L146" s="6">
        <f>IFERROR(K146/SUM($K$138:$K$161),"")</f>
        <v/>
      </c>
      <c r="M146" s="8" t="n">
        <v>9</v>
      </c>
    </row>
    <row r="147">
      <c r="A147" s="9" t="inlineStr">
        <is>
          <t>Siegfried ★ SIE</t>
        </is>
      </c>
      <c r="B147" s="9" t="inlineStr">
        <is>
          <t>ROXOLAN</t>
        </is>
      </c>
      <c r="C147" s="9" t="inlineStr">
        <is>
          <t>40 mg</t>
        </is>
      </c>
      <c r="D147" s="9" t="inlineStr">
        <is>
          <t>40 mg comp.rec.x 30</t>
        </is>
      </c>
      <c r="E147" s="10" t="n">
        <v>76632.2</v>
      </c>
      <c r="F147" s="10" t="n">
        <v>76632.2</v>
      </c>
      <c r="G147" s="10">
        <f>IFERROR(F147/30,"")</f>
        <v/>
      </c>
      <c r="H147" s="11" t="n"/>
      <c r="I147" s="11" t="n"/>
      <c r="J147" s="11">
        <f>IFERROR((G147-G138)/G138,"")</f>
        <v/>
      </c>
      <c r="K147" s="12" t="n">
        <v>19524</v>
      </c>
      <c r="L147" s="11">
        <f>IFERROR(K147/SUM($K$138:$K$161),"")</f>
        <v/>
      </c>
      <c r="M147" s="13" t="n">
        <v>10</v>
      </c>
    </row>
    <row r="148">
      <c r="A148" t="inlineStr">
        <is>
          <t>AstraZeneca</t>
        </is>
      </c>
      <c r="B148" t="inlineStr">
        <is>
          <t>CRESTOR</t>
        </is>
      </c>
      <c r="C148" t="inlineStr">
        <is>
          <t>40 mg</t>
        </is>
      </c>
      <c r="D148" t="inlineStr">
        <is>
          <t>40 mg comp.x 28</t>
        </is>
      </c>
      <c r="E148" s="2" t="n">
        <v>99560.2</v>
      </c>
      <c r="F148" s="2" t="n">
        <v>103582.43</v>
      </c>
      <c r="G148" s="2">
        <f>IFERROR(F148/28,"")</f>
        <v/>
      </c>
      <c r="H148" s="6">
        <f>IFERROR((F148-E148)/E148,"")</f>
        <v/>
      </c>
      <c r="I148" s="6">
        <f>IFERROR((G148-G147)/G147,"")</f>
        <v/>
      </c>
      <c r="J148" s="6">
        <f>IFERROR((G148-G138)/G138,"")</f>
        <v/>
      </c>
      <c r="K148" s="3" t="n">
        <v>16614</v>
      </c>
      <c r="L148" s="6">
        <f>IFERROR(K148/SUM($K$138:$K$161),"")</f>
        <v/>
      </c>
      <c r="M148" s="8" t="n">
        <v>11</v>
      </c>
    </row>
    <row r="149">
      <c r="A149" t="inlineStr">
        <is>
          <t>Casasco</t>
        </is>
      </c>
      <c r="B149" t="inlineStr">
        <is>
          <t>HIPOLIPOL</t>
        </is>
      </c>
      <c r="C149" t="inlineStr">
        <is>
          <t>40 mg</t>
        </is>
      </c>
      <c r="D149" t="inlineStr">
        <is>
          <t>40 mg comp.rec.x 28</t>
        </is>
      </c>
      <c r="E149" s="2" t="n">
        <v>69900.89</v>
      </c>
      <c r="F149" s="2" t="n">
        <v>71928.03</v>
      </c>
      <c r="G149" s="2">
        <f>IFERROR(F149/28,"")</f>
        <v/>
      </c>
      <c r="H149" s="6">
        <f>IFERROR((F149-E149)/E149,"")</f>
        <v/>
      </c>
      <c r="I149" s="6">
        <f>IFERROR((G149-G147)/G147,"")</f>
        <v/>
      </c>
      <c r="J149" s="6">
        <f>IFERROR((G149-G138)/G138,"")</f>
        <v/>
      </c>
      <c r="K149" s="3" t="n">
        <v>8942</v>
      </c>
      <c r="L149" s="6">
        <f>IFERROR(K149/SUM($K$138:$K$161),"")</f>
        <v/>
      </c>
      <c r="M149" s="8" t="n">
        <v>12</v>
      </c>
    </row>
    <row r="150">
      <c r="A150" t="inlineStr">
        <is>
          <t>Géminis Farmacéutica</t>
        </is>
      </c>
      <c r="B150" t="inlineStr">
        <is>
          <t>ROSUCOL</t>
        </is>
      </c>
      <c r="C150" t="inlineStr">
        <is>
          <t>40 mg</t>
        </is>
      </c>
      <c r="D150" t="inlineStr">
        <is>
          <t>40 mg comp.x 30</t>
        </is>
      </c>
      <c r="E150" s="2" t="n">
        <v>54100</v>
      </c>
      <c r="F150" s="2" t="n">
        <v>55452.5</v>
      </c>
      <c r="G150" s="2">
        <f>IFERROR(F150/30,"")</f>
        <v/>
      </c>
      <c r="H150" s="6">
        <f>IFERROR((F150-E150)/E150,"")</f>
        <v/>
      </c>
      <c r="I150" s="6">
        <f>IFERROR((G150-G147)/G147,"")</f>
        <v/>
      </c>
      <c r="J150" s="6">
        <f>IFERROR((G150-G138)/G138,"")</f>
        <v/>
      </c>
      <c r="K150" s="3" t="n">
        <v>7626</v>
      </c>
      <c r="L150" s="6">
        <f>IFERROR(K150/SUM($K$138:$K$161),"")</f>
        <v/>
      </c>
      <c r="M150" s="8" t="n">
        <v>13</v>
      </c>
    </row>
    <row r="151">
      <c r="A151" t="inlineStr">
        <is>
          <t>Teva Argentina</t>
        </is>
      </c>
      <c r="B151" t="inlineStr">
        <is>
          <t>ARTOMEY</t>
        </is>
      </c>
      <c r="C151" t="inlineStr">
        <is>
          <t>40 mg</t>
        </is>
      </c>
      <c r="D151" t="inlineStr">
        <is>
          <t>40 mg comp.x 30</t>
        </is>
      </c>
      <c r="E151" s="2" t="n">
        <v>76677.90000000001</v>
      </c>
      <c r="F151" s="2" t="n">
        <v>81268.60000000001</v>
      </c>
      <c r="G151" s="2">
        <f>IFERROR(F151/30,"")</f>
        <v/>
      </c>
      <c r="H151" s="6">
        <f>IFERROR((F151-E151)/E151,"")</f>
        <v/>
      </c>
      <c r="I151" s="6">
        <f>IFERROR((G151-G147)/G147,"")</f>
        <v/>
      </c>
      <c r="J151" s="6">
        <f>IFERROR((G151-G138)/G138,"")</f>
        <v/>
      </c>
      <c r="K151" s="3" t="n">
        <v>6989</v>
      </c>
      <c r="L151" s="6">
        <f>IFERROR(K151/SUM($K$138:$K$161),"")</f>
        <v/>
      </c>
      <c r="M151" s="8" t="n">
        <v>14</v>
      </c>
    </row>
    <row r="152">
      <c r="A152" t="inlineStr">
        <is>
          <t>Lepetit</t>
        </is>
      </c>
      <c r="B152" t="inlineStr">
        <is>
          <t>ROSUX</t>
        </is>
      </c>
      <c r="C152" t="inlineStr">
        <is>
          <t>40 mg</t>
        </is>
      </c>
      <c r="D152" t="inlineStr">
        <is>
          <t>40 mg comp.x 30</t>
        </is>
      </c>
      <c r="E152" s="2" t="n">
        <v>63700</v>
      </c>
      <c r="F152" s="2" t="n">
        <v>72620</v>
      </c>
      <c r="G152" s="2">
        <f>IFERROR(F152/30,"")</f>
        <v/>
      </c>
      <c r="H152" s="6">
        <f>IFERROR((F152-E152)/E152,"")</f>
        <v/>
      </c>
      <c r="I152" s="6">
        <f>IFERROR((G152-G147)/G147,"")</f>
        <v/>
      </c>
      <c r="J152" s="6">
        <f>IFERROR((G152-G138)/G138,"")</f>
        <v/>
      </c>
      <c r="K152" s="3" t="n">
        <v>5756</v>
      </c>
      <c r="L152" s="6">
        <f>IFERROR(K152/SUM($K$138:$K$161),"")</f>
        <v/>
      </c>
      <c r="M152" s="8" t="n">
        <v>15</v>
      </c>
    </row>
    <row r="153">
      <c r="A153" t="inlineStr">
        <is>
          <t>Lazar</t>
        </is>
      </c>
      <c r="B153" t="inlineStr">
        <is>
          <t>ASTENDE</t>
        </is>
      </c>
      <c r="C153" t="inlineStr">
        <is>
          <t>40 mg</t>
        </is>
      </c>
      <c r="D153" t="inlineStr">
        <is>
          <t>40 mg comp.rec.x 30</t>
        </is>
      </c>
      <c r="E153" s="2" t="n">
        <v>70261.05</v>
      </c>
      <c r="F153" s="2" t="n">
        <v>74756.77</v>
      </c>
      <c r="G153" s="2">
        <f>IFERROR(F153/30,"")</f>
        <v/>
      </c>
      <c r="H153" s="6">
        <f>IFERROR((F153-E153)/E153,"")</f>
        <v/>
      </c>
      <c r="I153" s="6">
        <f>IFERROR((G153-G147)/G147,"")</f>
        <v/>
      </c>
      <c r="J153" s="6">
        <f>IFERROR((G153-G138)/G138,"")</f>
        <v/>
      </c>
      <c r="K153" s="3" t="n">
        <v>4084</v>
      </c>
      <c r="L153" s="6">
        <f>IFERROR(K153/SUM($K$138:$K$161),"")</f>
        <v/>
      </c>
      <c r="M153" s="8" t="n">
        <v>16</v>
      </c>
    </row>
    <row r="154">
      <c r="A154" t="inlineStr">
        <is>
          <t>Richmond</t>
        </is>
      </c>
      <c r="B154" t="inlineStr">
        <is>
          <t>BILIP 40</t>
        </is>
      </c>
      <c r="C154" t="inlineStr">
        <is>
          <t>40 mg</t>
        </is>
      </c>
      <c r="D154" t="inlineStr">
        <is>
          <t>40 mg comp.x 30</t>
        </is>
      </c>
      <c r="E154" s="2" t="n">
        <v>76074.81</v>
      </c>
      <c r="F154" s="2" t="n">
        <v>77596.31</v>
      </c>
      <c r="G154" s="2">
        <f>IFERROR(F154/30,"")</f>
        <v/>
      </c>
      <c r="H154" s="6">
        <f>IFERROR((F154-E154)/E154,"")</f>
        <v/>
      </c>
      <c r="I154" s="6">
        <f>IFERROR((G154-G147)/G147,"")</f>
        <v/>
      </c>
      <c r="J154" s="6">
        <f>IFERROR((G154-G138)/G138,"")</f>
        <v/>
      </c>
      <c r="K154" s="3" t="n">
        <v>3845</v>
      </c>
      <c r="L154" s="6">
        <f>IFERROR(K154/SUM($K$138:$K$161),"")</f>
        <v/>
      </c>
      <c r="M154" s="8" t="n">
        <v>17</v>
      </c>
    </row>
    <row r="155">
      <c r="A155" t="inlineStr">
        <is>
          <t>Francelab</t>
        </is>
      </c>
      <c r="B155" t="inlineStr">
        <is>
          <t>APRENTICE</t>
        </is>
      </c>
      <c r="C155" t="inlineStr">
        <is>
          <t>40 mg</t>
        </is>
      </c>
      <c r="D155" t="inlineStr">
        <is>
          <t>40 mg comp.trirran.x 20</t>
        </is>
      </c>
      <c r="E155" s="2" t="n">
        <v>45151.4</v>
      </c>
      <c r="F155" s="2" t="n">
        <v>46280.19</v>
      </c>
      <c r="G155" s="2">
        <f>IFERROR(F155/20,"")</f>
        <v/>
      </c>
      <c r="H155" s="6">
        <f>IFERROR((F155-E155)/E155,"")</f>
        <v/>
      </c>
      <c r="I155" s="6">
        <f>IFERROR((G155-G147)/G147,"")</f>
        <v/>
      </c>
      <c r="J155" s="6">
        <f>IFERROR((G155-G138)/G138,"")</f>
        <v/>
      </c>
      <c r="K155" s="3" t="n">
        <v>1017</v>
      </c>
      <c r="L155" s="6">
        <f>IFERROR(K155/SUM($K$138:$K$161),"")</f>
        <v/>
      </c>
      <c r="M155" s="8" t="n">
        <v>18</v>
      </c>
    </row>
    <row r="156">
      <c r="A156" t="inlineStr">
        <is>
          <t>Beta</t>
        </is>
      </c>
      <c r="B156" t="inlineStr">
        <is>
          <t>ATERONOVA</t>
        </is>
      </c>
      <c r="C156" t="inlineStr">
        <is>
          <t>40 mg</t>
        </is>
      </c>
      <c r="D156" t="inlineStr">
        <is>
          <t>40 mg comp.x 30</t>
        </is>
      </c>
      <c r="E156" s="2" t="n">
        <v>60171.94</v>
      </c>
      <c r="F156" s="2" t="n">
        <v>64769.08</v>
      </c>
      <c r="G156" s="2">
        <f>IFERROR(F156/30,"")</f>
        <v/>
      </c>
      <c r="H156" s="6">
        <f>IFERROR((F156-E156)/E156,"")</f>
        <v/>
      </c>
      <c r="I156" s="6">
        <f>IFERROR((G156-G147)/G147,"")</f>
        <v/>
      </c>
      <c r="J156" s="6">
        <f>IFERROR((G156-G138)/G138,"")</f>
        <v/>
      </c>
      <c r="K156" s="3" t="n"/>
      <c r="L156" s="6">
        <f>IFERROR(K156/SUM($K$138:$K$161),"")</f>
        <v/>
      </c>
      <c r="M156" s="8" t="n">
        <v>19</v>
      </c>
    </row>
    <row r="157">
      <c r="A157" t="inlineStr">
        <is>
          <t>Laboratorios Bernabó</t>
        </is>
      </c>
      <c r="B157" t="inlineStr">
        <is>
          <t>ROSUBER</t>
        </is>
      </c>
      <c r="C157" t="inlineStr">
        <is>
          <t>40 mg</t>
        </is>
      </c>
      <c r="D157" t="inlineStr">
        <is>
          <t>40 mg comp.x 30</t>
        </is>
      </c>
      <c r="E157" s="2" t="n">
        <v>69488.52</v>
      </c>
      <c r="F157" s="2" t="n">
        <v>71503.69</v>
      </c>
      <c r="G157" s="2">
        <f>IFERROR(F157/30,"")</f>
        <v/>
      </c>
      <c r="H157" s="6">
        <f>IFERROR((F157-E157)/E157,"")</f>
        <v/>
      </c>
      <c r="I157" s="6">
        <f>IFERROR((G157-G147)/G147,"")</f>
        <v/>
      </c>
      <c r="J157" s="6">
        <f>IFERROR((G157-G138)/G138,"")</f>
        <v/>
      </c>
      <c r="K157" s="3" t="n"/>
      <c r="L157" s="6">
        <f>IFERROR(K157/SUM($K$138:$K$161),"")</f>
        <v/>
      </c>
      <c r="M157" s="8" t="n">
        <v>20</v>
      </c>
    </row>
    <row r="158">
      <c r="A158" t="inlineStr">
        <is>
          <t>Richet</t>
        </is>
      </c>
      <c r="B158" t="inlineStr">
        <is>
          <t>ROSUVASTATINA RICHET</t>
        </is>
      </c>
      <c r="C158" t="inlineStr">
        <is>
          <t>40 mg</t>
        </is>
      </c>
      <c r="D158" t="inlineStr">
        <is>
          <t>40 mg comp.x 28</t>
        </is>
      </c>
      <c r="E158" s="2" t="n">
        <v>60523.31</v>
      </c>
      <c r="F158" s="2" t="n">
        <v>61431.16</v>
      </c>
      <c r="G158" s="2">
        <f>IFERROR(F158/28,"")</f>
        <v/>
      </c>
      <c r="H158" s="6">
        <f>IFERROR((F158-E158)/E158,"")</f>
        <v/>
      </c>
      <c r="I158" s="6">
        <f>IFERROR((G158-G147)/G147,"")</f>
        <v/>
      </c>
      <c r="J158" s="6">
        <f>IFERROR((G158-G138)/G138,"")</f>
        <v/>
      </c>
      <c r="K158" s="3" t="n"/>
      <c r="L158" s="6">
        <f>IFERROR(K158/SUM($K$138:$K$161),"")</f>
        <v/>
      </c>
      <c r="M158" s="8" t="n">
        <v>21</v>
      </c>
    </row>
    <row r="159">
      <c r="A159" t="inlineStr">
        <is>
          <t>Richet</t>
        </is>
      </c>
      <c r="B159" t="inlineStr">
        <is>
          <t>ROSUVASTATINA RICHET</t>
        </is>
      </c>
      <c r="C159" t="inlineStr">
        <is>
          <t>40 mg</t>
        </is>
      </c>
      <c r="D159" t="inlineStr">
        <is>
          <t>40 mg comp.x 30</t>
        </is>
      </c>
      <c r="E159" s="2" t="n">
        <v>60681.62</v>
      </c>
      <c r="F159" s="2" t="n">
        <v>61591.84</v>
      </c>
      <c r="G159" s="2">
        <f>IFERROR(F159/30,"")</f>
        <v/>
      </c>
      <c r="H159" s="6">
        <f>IFERROR((F159-E159)/E159,"")</f>
        <v/>
      </c>
      <c r="I159" s="6">
        <f>IFERROR((G159-G147)/G147,"")</f>
        <v/>
      </c>
      <c r="J159" s="6">
        <f>IFERROR((G159-G138)/G138,"")</f>
        <v/>
      </c>
      <c r="K159" s="3" t="n"/>
      <c r="L159" s="6">
        <f>IFERROR(K159/SUM($K$138:$K$161),"")</f>
        <v/>
      </c>
      <c r="M159" s="8" t="n">
        <v>22</v>
      </c>
    </row>
    <row r="160">
      <c r="A160" t="inlineStr">
        <is>
          <t>Temis-Lostaló</t>
        </is>
      </c>
      <c r="B160" t="inlineStr">
        <is>
          <t>NODIS 40</t>
        </is>
      </c>
      <c r="C160" t="inlineStr">
        <is>
          <t>40 mg</t>
        </is>
      </c>
      <c r="D160" t="inlineStr">
        <is>
          <t>40 mg comp.rec.x 30</t>
        </is>
      </c>
      <c r="E160" s="2" t="n">
        <v>71255.53</v>
      </c>
      <c r="F160" s="2" t="n">
        <v>73319.31</v>
      </c>
      <c r="G160" s="2">
        <f>IFERROR(F160/30,"")</f>
        <v/>
      </c>
      <c r="H160" s="6">
        <f>IFERROR((F160-E160)/E160,"")</f>
        <v/>
      </c>
      <c r="I160" s="6">
        <f>IFERROR((G160-G147)/G147,"")</f>
        <v/>
      </c>
      <c r="J160" s="6">
        <f>IFERROR((G160-G138)/G138,"")</f>
        <v/>
      </c>
      <c r="K160" s="3" t="n"/>
      <c r="L160" s="6">
        <f>IFERROR(K160/SUM($K$138:$K$161),"")</f>
        <v/>
      </c>
      <c r="M160" s="8" t="n">
        <v>23</v>
      </c>
    </row>
    <row r="161">
      <c r="A161" t="inlineStr">
        <is>
          <t>Vannier</t>
        </is>
      </c>
      <c r="B161" t="inlineStr">
        <is>
          <t>ROSUVASTATINA VANNIER</t>
        </is>
      </c>
      <c r="C161" t="inlineStr">
        <is>
          <t>40 mg</t>
        </is>
      </c>
      <c r="D161" t="inlineStr">
        <is>
          <t>40 mg comp.x 30</t>
        </is>
      </c>
      <c r="E161" s="2" t="n">
        <v>54877.58</v>
      </c>
      <c r="F161" s="2" t="n">
        <v>56422.21</v>
      </c>
      <c r="G161" s="2">
        <f>IFERROR(F161/30,"")</f>
        <v/>
      </c>
      <c r="H161" s="6">
        <f>IFERROR((F161-E161)/E161,"")</f>
        <v/>
      </c>
      <c r="I161" s="6">
        <f>IFERROR((G161-G147)/G147,"")</f>
        <v/>
      </c>
      <c r="J161" s="6">
        <f>IFERROR((G161-G138)/G138,"")</f>
        <v/>
      </c>
      <c r="K161" s="3" t="n"/>
      <c r="L161" s="6">
        <f>IFERROR(K161/SUM($K$138:$K$161),"")</f>
        <v/>
      </c>
      <c r="M161" s="8" t="n">
        <v>24</v>
      </c>
    </row>
  </sheetData>
  <mergeCells count="4">
    <mergeCell ref="A87:M87"/>
    <mergeCell ref="A2:M2"/>
    <mergeCell ref="A137:M137"/>
    <mergeCell ref="A34:M3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" customWidth="1" min="1" max="1"/>
    <col width="20.83" customWidth="1" min="2" max="2"/>
    <col width="12" customWidth="1" min="3" max="3"/>
    <col width="28.83" customWidth="1" min="4" max="4"/>
    <col width="14.83" customWidth="1" min="5" max="5"/>
    <col width="14.83" customWidth="1" min="6" max="6"/>
    <col width="12.83" customWidth="1" min="7" max="7"/>
    <col width="8.83" customWidth="1" min="8" max="8"/>
    <col width="10.83" customWidth="1" min="9" max="9"/>
    <col width="10.83" customWidth="1" min="10" max="10"/>
    <col width="12.83" customWidth="1" min="11" max="11"/>
    <col width="8.83" customWidth="1" min="12" max="12"/>
    <col width="6.83" customWidth="1" min="13" max="13"/>
  </cols>
  <sheetData>
    <row r="1">
      <c r="A1" s="4" t="inlineStr">
        <is>
          <t>Laboratorio</t>
        </is>
      </c>
      <c r="B1" s="4" t="inlineStr">
        <is>
          <t>Producto</t>
        </is>
      </c>
      <c r="C1" s="4" t="inlineStr">
        <is>
          <t>Dosis</t>
        </is>
      </c>
      <c r="D1" s="4" t="inlineStr">
        <is>
          <t>Presentación</t>
        </is>
      </c>
      <c r="E1" s="4" t="inlineStr">
        <is>
          <t>PVP Feb 2026</t>
        </is>
      </c>
      <c r="F1" s="4" t="inlineStr">
        <is>
          <t>PVP Abr 2026</t>
        </is>
      </c>
      <c r="G1" s="4" t="inlineStr">
        <is>
          <t>PVP/Unidad</t>
        </is>
      </c>
      <c r="H1" s="4" t="inlineStr">
        <is>
          <t>Var %</t>
        </is>
      </c>
      <c r="I1" s="4" t="inlineStr">
        <is>
          <t>VS SIE</t>
        </is>
      </c>
      <c r="J1" s="4" t="inlineStr">
        <is>
          <t>VS Líder</t>
        </is>
      </c>
      <c r="K1" s="4" t="inlineStr">
        <is>
          <t>IQVIA MAT U.</t>
        </is>
      </c>
      <c r="L1" s="4" t="inlineStr">
        <is>
          <t>Share %</t>
        </is>
      </c>
      <c r="M1" s="4" t="inlineStr">
        <is>
          <t>Ranking</t>
        </is>
      </c>
    </row>
    <row r="2" ht="20" customHeight="1">
      <c r="A2" s="5" t="inlineStr">
        <is>
          <t>Dosis: 5/10 mg — rosuvastatina+ezetimibe</t>
        </is>
      </c>
    </row>
    <row r="3">
      <c r="A3" t="inlineStr">
        <is>
          <t>Nolter</t>
        </is>
      </c>
      <c r="B3" t="inlineStr">
        <is>
          <t>ROSUFEN DUO</t>
        </is>
      </c>
      <c r="C3" t="inlineStr">
        <is>
          <t>5/10 mg</t>
        </is>
      </c>
      <c r="D3" t="inlineStr">
        <is>
          <t>5/10 mg comp. x 30</t>
        </is>
      </c>
      <c r="E3" s="2" t="n">
        <v>29602.29</v>
      </c>
      <c r="F3" s="2" t="n">
        <v>31465.96</v>
      </c>
      <c r="G3" s="2">
        <f>IFERROR(F3/30,"")</f>
        <v/>
      </c>
      <c r="H3" s="6">
        <f>IFERROR((F3-E3)/E3,"")</f>
        <v/>
      </c>
      <c r="I3" s="6">
        <f>IFERROR((G3-G6)/G6,"")</f>
        <v/>
      </c>
      <c r="J3" s="7" t="inlineStr">
        <is>
          <t>Líder</t>
        </is>
      </c>
      <c r="K3" s="3" t="n">
        <v>19594</v>
      </c>
      <c r="L3" s="6">
        <f>IFERROR(K3/SUM($K$3:$K$7),"")</f>
        <v/>
      </c>
      <c r="M3" s="8" t="n">
        <v>1</v>
      </c>
    </row>
    <row r="4">
      <c r="A4" t="inlineStr">
        <is>
          <t>Roemmers</t>
        </is>
      </c>
      <c r="B4" t="inlineStr">
        <is>
          <t>ROVARTAL EZ</t>
        </is>
      </c>
      <c r="C4" t="inlineStr">
        <is>
          <t>5/10 mg</t>
        </is>
      </c>
      <c r="D4" t="inlineStr">
        <is>
          <t>5 mg cáps. x 30</t>
        </is>
      </c>
      <c r="E4" s="2" t="n">
        <v>28942</v>
      </c>
      <c r="F4" s="2" t="n">
        <v>29781</v>
      </c>
      <c r="G4" s="2">
        <f>IFERROR(F4/30,"")</f>
        <v/>
      </c>
      <c r="H4" s="6">
        <f>IFERROR((F4-E4)/E4,"")</f>
        <v/>
      </c>
      <c r="I4" s="6">
        <f>IFERROR((G4-G6)/G6,"")</f>
        <v/>
      </c>
      <c r="J4" s="6">
        <f>IFERROR((G4-G3)/G3,"")</f>
        <v/>
      </c>
      <c r="K4" s="3" t="n">
        <v>18503</v>
      </c>
      <c r="L4" s="6">
        <f>IFERROR(K4/SUM($K$3:$K$7),"")</f>
        <v/>
      </c>
      <c r="M4" s="8" t="n">
        <v>2</v>
      </c>
    </row>
    <row r="5">
      <c r="A5" t="inlineStr">
        <is>
          <t>Casasco</t>
        </is>
      </c>
      <c r="B5" t="inlineStr">
        <is>
          <t>HIPOLIPOL EZ</t>
        </is>
      </c>
      <c r="C5" t="inlineStr">
        <is>
          <t>5/10 mg</t>
        </is>
      </c>
      <c r="D5" t="inlineStr">
        <is>
          <t>5/10 mg comp. x 30</t>
        </is>
      </c>
      <c r="E5" s="2" t="n">
        <v>28560.54</v>
      </c>
      <c r="F5" s="2" t="n">
        <v>29388.8</v>
      </c>
      <c r="G5" s="2">
        <f>IFERROR(F5/30,"")</f>
        <v/>
      </c>
      <c r="H5" s="6">
        <f>IFERROR((F5-E5)/E5,"")</f>
        <v/>
      </c>
      <c r="I5" s="6">
        <f>IFERROR((G5-G6)/G6,"")</f>
        <v/>
      </c>
      <c r="J5" s="6">
        <f>IFERROR((G5-G3)/G3,"")</f>
        <v/>
      </c>
      <c r="K5" s="3" t="n">
        <v>3973</v>
      </c>
      <c r="L5" s="6">
        <f>IFERROR(K5/SUM($K$3:$K$7),"")</f>
        <v/>
      </c>
      <c r="M5" s="8" t="n">
        <v>3</v>
      </c>
    </row>
    <row r="6">
      <c r="A6" s="9" t="inlineStr">
        <is>
          <t>Siegfried ★ SIE</t>
        </is>
      </c>
      <c r="B6" s="9" t="inlineStr">
        <is>
          <t>ROXOLAN PLUS</t>
        </is>
      </c>
      <c r="C6" s="9" t="inlineStr">
        <is>
          <t>5/10 mg</t>
        </is>
      </c>
      <c r="D6" s="9" t="inlineStr">
        <is>
          <t>5/10 cáps.x 30</t>
        </is>
      </c>
      <c r="E6" s="10" t="n">
        <v>30101.65</v>
      </c>
      <c r="F6" s="10" t="n">
        <v>30101.65</v>
      </c>
      <c r="G6" s="10">
        <f>IFERROR(F6/30,"")</f>
        <v/>
      </c>
      <c r="H6" s="11" t="n"/>
      <c r="I6" s="11" t="n"/>
      <c r="J6" s="11">
        <f>IFERROR((G6-G3)/G3,"")</f>
        <v/>
      </c>
      <c r="K6" s="12" t="n">
        <v>1953</v>
      </c>
      <c r="L6" s="11">
        <f>IFERROR(K6/SUM($K$3:$K$7),"")</f>
        <v/>
      </c>
      <c r="M6" s="13" t="n">
        <v>4</v>
      </c>
    </row>
    <row r="7">
      <c r="A7" t="inlineStr">
        <is>
          <t>Laboratorios Bernabó</t>
        </is>
      </c>
      <c r="B7" t="inlineStr">
        <is>
          <t>ROSUBER PLUS</t>
        </is>
      </c>
      <c r="C7" t="inlineStr">
        <is>
          <t>5/10 mg</t>
        </is>
      </c>
      <c r="D7" t="inlineStr">
        <is>
          <t>5/10 mg comp. rec.x 30</t>
        </is>
      </c>
      <c r="E7" s="2" t="n">
        <v>28259.49</v>
      </c>
      <c r="F7" s="2" t="n">
        <v>28259.49</v>
      </c>
      <c r="G7" s="2">
        <f>IFERROR(F7/30,"")</f>
        <v/>
      </c>
      <c r="H7" s="6">
        <f>IFERROR((F7-E7)/E7,"")</f>
        <v/>
      </c>
      <c r="I7" s="6">
        <f>IFERROR((G7-G6)/G6,"")</f>
        <v/>
      </c>
      <c r="J7" s="6">
        <f>IFERROR((G7-G3)/G3,"")</f>
        <v/>
      </c>
      <c r="K7" s="3" t="n"/>
      <c r="L7" s="6">
        <f>IFERROR(K7/SUM($K$3:$K$7),"")</f>
        <v/>
      </c>
      <c r="M7" s="8" t="n">
        <v>5</v>
      </c>
    </row>
    <row r="9" ht="20" customHeight="1">
      <c r="A9" s="5" t="inlineStr">
        <is>
          <t>Dosis: 10/10 mg — rosuvastatina+ezetimibe</t>
        </is>
      </c>
    </row>
    <row r="10">
      <c r="A10" t="inlineStr">
        <is>
          <t>Gador</t>
        </is>
      </c>
      <c r="B10" t="inlineStr">
        <is>
          <t>SINLIP EZ</t>
        </is>
      </c>
      <c r="C10" t="inlineStr">
        <is>
          <t>10/10 mg</t>
        </is>
      </c>
      <c r="D10" t="inlineStr">
        <is>
          <t>10/10 mg comp.rec.x 30</t>
        </is>
      </c>
      <c r="E10" s="2" t="n">
        <v>30795.32</v>
      </c>
      <c r="F10" s="2" t="n">
        <v>31565.19</v>
      </c>
      <c r="G10" s="2">
        <f>IFERROR(F10/30,"")</f>
        <v/>
      </c>
      <c r="H10" s="6">
        <f>IFERROR((F10-E10)/E10,"")</f>
        <v/>
      </c>
      <c r="I10" s="6">
        <f>IFERROR((G10-G17)/G17,"")</f>
        <v/>
      </c>
      <c r="J10" s="7" t="inlineStr">
        <is>
          <t>Líder</t>
        </is>
      </c>
      <c r="K10" s="3" t="n">
        <v>156557</v>
      </c>
      <c r="L10" s="6">
        <f>IFERROR(K10/SUM($K$10:$K$20),"")</f>
        <v/>
      </c>
      <c r="M10" s="8" t="n">
        <v>1</v>
      </c>
    </row>
    <row r="11">
      <c r="A11" t="inlineStr">
        <is>
          <t>Roemmers</t>
        </is>
      </c>
      <c r="B11" t="inlineStr">
        <is>
          <t>ROVARTAL EZ</t>
        </is>
      </c>
      <c r="C11" t="inlineStr">
        <is>
          <t>10/10 mg</t>
        </is>
      </c>
      <c r="D11" t="inlineStr">
        <is>
          <t>10 mg cáps. x 30</t>
        </is>
      </c>
      <c r="E11" s="2" t="n">
        <v>31427</v>
      </c>
      <c r="F11" s="2" t="n">
        <v>32338</v>
      </c>
      <c r="G11" s="2">
        <f>IFERROR(F11/30,"")</f>
        <v/>
      </c>
      <c r="H11" s="6">
        <f>IFERROR((F11-E11)/E11,"")</f>
        <v/>
      </c>
      <c r="I11" s="6">
        <f>IFERROR((G11-G17)/G17,"")</f>
        <v/>
      </c>
      <c r="J11" s="6">
        <f>IFERROR((G11-G10)/G10,"")</f>
        <v/>
      </c>
      <c r="K11" s="3" t="n">
        <v>100622</v>
      </c>
      <c r="L11" s="6">
        <f>IFERROR(K11/SUM($K$10:$K$20),"")</f>
        <v/>
      </c>
      <c r="M11" s="8" t="n">
        <v>2</v>
      </c>
    </row>
    <row r="12">
      <c r="A12" t="inlineStr">
        <is>
          <t>Elea</t>
        </is>
      </c>
      <c r="B12" t="inlineStr">
        <is>
          <t>LIPEX PLUS</t>
        </is>
      </c>
      <c r="C12" t="inlineStr">
        <is>
          <t>10/10 mg</t>
        </is>
      </c>
      <c r="D12" t="inlineStr">
        <is>
          <t>10/10 comp.x 30</t>
        </is>
      </c>
      <c r="E12" s="2" t="n">
        <v>32566.91</v>
      </c>
      <c r="F12" s="2" t="n">
        <v>34113.19</v>
      </c>
      <c r="G12" s="2">
        <f>IFERROR(F12/30,"")</f>
        <v/>
      </c>
      <c r="H12" s="6">
        <f>IFERROR((F12-E12)/E12,"")</f>
        <v/>
      </c>
      <c r="I12" s="6">
        <f>IFERROR((G12-G17)/G17,"")</f>
        <v/>
      </c>
      <c r="J12" s="6">
        <f>IFERROR((G12-G10)/G10,"")</f>
        <v/>
      </c>
      <c r="K12" s="3" t="n">
        <v>79792</v>
      </c>
      <c r="L12" s="6">
        <f>IFERROR(K12/SUM($K$10:$K$20),"")</f>
        <v/>
      </c>
      <c r="M12" s="8" t="n">
        <v>3</v>
      </c>
    </row>
    <row r="13">
      <c r="A13" t="inlineStr">
        <is>
          <t>Baliarda</t>
        </is>
      </c>
      <c r="B13" t="inlineStr">
        <is>
          <t>REOVEX EZ</t>
        </is>
      </c>
      <c r="C13" t="inlineStr">
        <is>
          <t>10/10 mg</t>
        </is>
      </c>
      <c r="D13" t="inlineStr">
        <is>
          <t>10/10 comp.rec.x 30</t>
        </is>
      </c>
      <c r="E13" s="2" t="n">
        <v>30479.23</v>
      </c>
      <c r="F13" s="2" t="n">
        <v>31363.13</v>
      </c>
      <c r="G13" s="2">
        <f>IFERROR(F13/30,"")</f>
        <v/>
      </c>
      <c r="H13" s="6">
        <f>IFERROR((F13-E13)/E13,"")</f>
        <v/>
      </c>
      <c r="I13" s="6">
        <f>IFERROR((G13-G17)/G17,"")</f>
        <v/>
      </c>
      <c r="J13" s="6">
        <f>IFERROR((G13-G10)/G10,"")</f>
        <v/>
      </c>
      <c r="K13" s="3" t="n">
        <v>56610</v>
      </c>
      <c r="L13" s="6">
        <f>IFERROR(K13/SUM($K$10:$K$20),"")</f>
        <v/>
      </c>
      <c r="M13" s="8" t="n">
        <v>4</v>
      </c>
    </row>
    <row r="14">
      <c r="A14" t="inlineStr">
        <is>
          <t>Nolter</t>
        </is>
      </c>
      <c r="B14" t="inlineStr">
        <is>
          <t>ROSUFEN DUO</t>
        </is>
      </c>
      <c r="C14" t="inlineStr">
        <is>
          <t>10/10 mg</t>
        </is>
      </c>
      <c r="D14" t="inlineStr">
        <is>
          <t>10/10 mg comp. x 30</t>
        </is>
      </c>
      <c r="E14" s="2" t="n">
        <v>32238.06</v>
      </c>
      <c r="F14" s="2" t="n">
        <v>34267.68</v>
      </c>
      <c r="G14" s="2">
        <f>IFERROR(F14/30,"")</f>
        <v/>
      </c>
      <c r="H14" s="6">
        <f>IFERROR((F14-E14)/E14,"")</f>
        <v/>
      </c>
      <c r="I14" s="6">
        <f>IFERROR((G14-G17)/G17,"")</f>
        <v/>
      </c>
      <c r="J14" s="6">
        <f>IFERROR((G14-G10)/G10,"")</f>
        <v/>
      </c>
      <c r="K14" s="3" t="n">
        <v>48497</v>
      </c>
      <c r="L14" s="6">
        <f>IFERROR(K14/SUM($K$10:$K$20),"")</f>
        <v/>
      </c>
      <c r="M14" s="8" t="n">
        <v>5</v>
      </c>
    </row>
    <row r="15">
      <c r="A15" t="inlineStr">
        <is>
          <t>Bagó</t>
        </is>
      </c>
      <c r="B15" t="inlineStr">
        <is>
          <t>ROSUVAST EZ 10/10</t>
        </is>
      </c>
      <c r="C15" t="inlineStr">
        <is>
          <t>10/10 mg</t>
        </is>
      </c>
      <c r="D15" t="inlineStr">
        <is>
          <t>10/10 mg comp.x 30</t>
        </is>
      </c>
      <c r="E15" s="2" t="n">
        <v>29871.33</v>
      </c>
      <c r="F15" s="2" t="n">
        <v>30636.04</v>
      </c>
      <c r="G15" s="2">
        <f>IFERROR(F15/30,"")</f>
        <v/>
      </c>
      <c r="H15" s="6">
        <f>IFERROR((F15-E15)/E15,"")</f>
        <v/>
      </c>
      <c r="I15" s="6">
        <f>IFERROR((G15-G17)/G17,"")</f>
        <v/>
      </c>
      <c r="J15" s="6">
        <f>IFERROR((G15-G10)/G10,"")</f>
        <v/>
      </c>
      <c r="K15" s="3" t="n">
        <v>28938</v>
      </c>
      <c r="L15" s="6">
        <f>IFERROR(K15/SUM($K$10:$K$20),"")</f>
        <v/>
      </c>
      <c r="M15" s="8" t="n">
        <v>6</v>
      </c>
    </row>
    <row r="16">
      <c r="A16" t="inlineStr">
        <is>
          <t>Casasco</t>
        </is>
      </c>
      <c r="B16" t="inlineStr">
        <is>
          <t>HIPOLIPOL EZ</t>
        </is>
      </c>
      <c r="C16" t="inlineStr">
        <is>
          <t>10/10 mg</t>
        </is>
      </c>
      <c r="D16" t="inlineStr">
        <is>
          <t>10/10 mg comp. x 30</t>
        </is>
      </c>
      <c r="E16" s="2" t="n">
        <v>31048.23</v>
      </c>
      <c r="F16" s="2" t="n">
        <v>31948.62</v>
      </c>
      <c r="G16" s="2">
        <f>IFERROR(F16/30,"")</f>
        <v/>
      </c>
      <c r="H16" s="6">
        <f>IFERROR((F16-E16)/E16,"")</f>
        <v/>
      </c>
      <c r="I16" s="6">
        <f>IFERROR((G16-G17)/G17,"")</f>
        <v/>
      </c>
      <c r="J16" s="6">
        <f>IFERROR((G16-G10)/G10,"")</f>
        <v/>
      </c>
      <c r="K16" s="3" t="n">
        <v>27661</v>
      </c>
      <c r="L16" s="6">
        <f>IFERROR(K16/SUM($K$10:$K$20),"")</f>
        <v/>
      </c>
      <c r="M16" s="8" t="n">
        <v>7</v>
      </c>
    </row>
    <row r="17">
      <c r="A17" s="9" t="inlineStr">
        <is>
          <t>Siegfried ★ SIE</t>
        </is>
      </c>
      <c r="B17" s="9" t="inlineStr">
        <is>
          <t>ROXOLAN PLUS</t>
        </is>
      </c>
      <c r="C17" s="9" t="inlineStr">
        <is>
          <t>10/10 mg</t>
        </is>
      </c>
      <c r="D17" s="9" t="inlineStr">
        <is>
          <t>10/10 cáps.x 30</t>
        </is>
      </c>
      <c r="E17" s="10" t="n">
        <v>33541.66</v>
      </c>
      <c r="F17" s="10" t="n">
        <v>33541.66</v>
      </c>
      <c r="G17" s="10">
        <f>IFERROR(F17/30,"")</f>
        <v/>
      </c>
      <c r="H17" s="11" t="n"/>
      <c r="I17" s="11" t="n"/>
      <c r="J17" s="11">
        <f>IFERROR((G17-G10)/G10,"")</f>
        <v/>
      </c>
      <c r="K17" s="12" t="n">
        <v>16644</v>
      </c>
      <c r="L17" s="11">
        <f>IFERROR(K17/SUM($K$10:$K$20),"")</f>
        <v/>
      </c>
      <c r="M17" s="13" t="n">
        <v>8</v>
      </c>
    </row>
    <row r="18">
      <c r="A18" t="inlineStr">
        <is>
          <t>Servier</t>
        </is>
      </c>
      <c r="B18" t="inlineStr">
        <is>
          <t>COMBICOL</t>
        </is>
      </c>
      <c r="C18" t="inlineStr">
        <is>
          <t>10/10 mg</t>
        </is>
      </c>
      <c r="D18" t="inlineStr">
        <is>
          <t>10/10 mg cáps. x 30</t>
        </is>
      </c>
      <c r="E18" s="2" t="n">
        <v>44050.68</v>
      </c>
      <c r="F18" s="2" t="n">
        <v>47050.62</v>
      </c>
      <c r="G18" s="2">
        <f>IFERROR(F18/30,"")</f>
        <v/>
      </c>
      <c r="H18" s="6">
        <f>IFERROR((F18-E18)/E18,"")</f>
        <v/>
      </c>
      <c r="I18" s="6">
        <f>IFERROR((G18-G17)/G17,"")</f>
        <v/>
      </c>
      <c r="J18" s="6">
        <f>IFERROR((G18-G10)/G10,"")</f>
        <v/>
      </c>
      <c r="K18" s="3" t="n">
        <v>5189</v>
      </c>
      <c r="L18" s="6">
        <f>IFERROR(K18/SUM($K$10:$K$20),"")</f>
        <v/>
      </c>
      <c r="M18" s="8" t="n">
        <v>9</v>
      </c>
    </row>
    <row r="19">
      <c r="A19" t="inlineStr">
        <is>
          <t>Craveri</t>
        </is>
      </c>
      <c r="B19" t="inlineStr">
        <is>
          <t>LIPOGLUTAREN DUO</t>
        </is>
      </c>
      <c r="C19" t="inlineStr">
        <is>
          <t>10/10 mg</t>
        </is>
      </c>
      <c r="D19" t="inlineStr">
        <is>
          <t>10/10 mg comp.rec.x30+30</t>
        </is>
      </c>
      <c r="E19" s="2" t="n">
        <v>46479.63</v>
      </c>
      <c r="F19" s="2" t="n">
        <v>50030.67</v>
      </c>
      <c r="G19" s="2">
        <f>IFERROR(F19/30,"")</f>
        <v/>
      </c>
      <c r="H19" s="6">
        <f>IFERROR((F19-E19)/E19,"")</f>
        <v/>
      </c>
      <c r="I19" s="6">
        <f>IFERROR((G19-G17)/G17,"")</f>
        <v/>
      </c>
      <c r="J19" s="6">
        <f>IFERROR((G19-G10)/G10,"")</f>
        <v/>
      </c>
      <c r="K19" s="3" t="n">
        <v>2577</v>
      </c>
      <c r="L19" s="6">
        <f>IFERROR(K19/SUM($K$10:$K$20),"")</f>
        <v/>
      </c>
      <c r="M19" s="8" t="n">
        <v>10</v>
      </c>
    </row>
    <row r="20">
      <c r="A20" t="inlineStr">
        <is>
          <t>Laboratorios Bernabó</t>
        </is>
      </c>
      <c r="B20" t="inlineStr">
        <is>
          <t>ROSUBER PLUS</t>
        </is>
      </c>
      <c r="C20" t="inlineStr">
        <is>
          <t>10/10 mg</t>
        </is>
      </c>
      <c r="D20" t="inlineStr">
        <is>
          <t>10/10 mg comp. rec.x 30</t>
        </is>
      </c>
      <c r="E20" s="2" t="n">
        <v>31356.99</v>
      </c>
      <c r="F20" s="2" t="n">
        <v>32266.34</v>
      </c>
      <c r="G20" s="2">
        <f>IFERROR(F20/30,"")</f>
        <v/>
      </c>
      <c r="H20" s="6">
        <f>IFERROR((F20-E20)/E20,"")</f>
        <v/>
      </c>
      <c r="I20" s="6">
        <f>IFERROR((G20-G17)/G17,"")</f>
        <v/>
      </c>
      <c r="J20" s="6">
        <f>IFERROR((G20-G10)/G10,"")</f>
        <v/>
      </c>
      <c r="K20" s="3" t="n"/>
      <c r="L20" s="6">
        <f>IFERROR(K20/SUM($K$10:$K$20),"")</f>
        <v/>
      </c>
      <c r="M20" s="8" t="n">
        <v>11</v>
      </c>
    </row>
    <row r="22" ht="20" customHeight="1">
      <c r="A22" s="5" t="inlineStr">
        <is>
          <t>Dosis: 20/10 mg — rosuvastatina+ezetimibe</t>
        </is>
      </c>
    </row>
    <row r="23">
      <c r="A23" t="inlineStr">
        <is>
          <t>Roemmers</t>
        </is>
      </c>
      <c r="B23" t="inlineStr">
        <is>
          <t>ROVARTAL EZ</t>
        </is>
      </c>
      <c r="C23" t="inlineStr">
        <is>
          <t>20/10 mg</t>
        </is>
      </c>
      <c r="D23" t="inlineStr">
        <is>
          <t>20 mg cáps. x 30</t>
        </is>
      </c>
      <c r="E23" s="2" t="n">
        <v>54314</v>
      </c>
      <c r="F23" s="2" t="n">
        <v>55889</v>
      </c>
      <c r="G23" s="2">
        <f>IFERROR(F23/30,"")</f>
        <v/>
      </c>
      <c r="H23" s="6">
        <f>IFERROR((F23-E23)/E23,"")</f>
        <v/>
      </c>
      <c r="I23" s="6">
        <f>IFERROR((G23-G30)/G30,"")</f>
        <v/>
      </c>
      <c r="J23" s="7" t="inlineStr">
        <is>
          <t>Líder</t>
        </is>
      </c>
      <c r="K23" s="3" t="n">
        <v>108334</v>
      </c>
      <c r="L23" s="6">
        <f>IFERROR(K23/SUM($K$23:$K$33),"")</f>
        <v/>
      </c>
      <c r="M23" s="8" t="n">
        <v>1</v>
      </c>
    </row>
    <row r="24">
      <c r="A24" t="inlineStr">
        <is>
          <t>Elea</t>
        </is>
      </c>
      <c r="B24" t="inlineStr">
        <is>
          <t>LIPEX PLUS</t>
        </is>
      </c>
      <c r="C24" t="inlineStr">
        <is>
          <t>20/10 mg</t>
        </is>
      </c>
      <c r="D24" t="inlineStr">
        <is>
          <t>20/10 comp.x 30</t>
        </is>
      </c>
      <c r="E24" s="2" t="n">
        <v>58664.62</v>
      </c>
      <c r="F24" s="2" t="n">
        <v>61450.02</v>
      </c>
      <c r="G24" s="2">
        <f>IFERROR(F24/30,"")</f>
        <v/>
      </c>
      <c r="H24" s="6">
        <f>IFERROR((F24-E24)/E24,"")</f>
        <v/>
      </c>
      <c r="I24" s="6">
        <f>IFERROR((G24-G30)/G30,"")</f>
        <v/>
      </c>
      <c r="J24" s="6">
        <f>IFERROR((G24-G23)/G23,"")</f>
        <v/>
      </c>
      <c r="K24" s="3" t="n">
        <v>94094</v>
      </c>
      <c r="L24" s="6">
        <f>IFERROR(K24/SUM($K$23:$K$33),"")</f>
        <v/>
      </c>
      <c r="M24" s="8" t="n">
        <v>2</v>
      </c>
    </row>
    <row r="25">
      <c r="A25" t="inlineStr">
        <is>
          <t>Baliarda</t>
        </is>
      </c>
      <c r="B25" t="inlineStr">
        <is>
          <t>REOVEX EZ</t>
        </is>
      </c>
      <c r="C25" t="inlineStr">
        <is>
          <t>20/10 mg</t>
        </is>
      </c>
      <c r="D25" t="inlineStr">
        <is>
          <t>20/10 comp.rec.x 30</t>
        </is>
      </c>
      <c r="E25" s="2" t="n">
        <v>52450.85</v>
      </c>
      <c r="F25" s="2" t="n">
        <v>53971.92</v>
      </c>
      <c r="G25" s="2">
        <f>IFERROR(F25/30,"")</f>
        <v/>
      </c>
      <c r="H25" s="6">
        <f>IFERROR((F25-E25)/E25,"")</f>
        <v/>
      </c>
      <c r="I25" s="6">
        <f>IFERROR((G25-G30)/G30,"")</f>
        <v/>
      </c>
      <c r="J25" s="6">
        <f>IFERROR((G25-G23)/G23,"")</f>
        <v/>
      </c>
      <c r="K25" s="3" t="n">
        <v>84621</v>
      </c>
      <c r="L25" s="6">
        <f>IFERROR(K25/SUM($K$23:$K$33),"")</f>
        <v/>
      </c>
      <c r="M25" s="8" t="n">
        <v>3</v>
      </c>
    </row>
    <row r="26">
      <c r="A26" t="inlineStr">
        <is>
          <t>Gador</t>
        </is>
      </c>
      <c r="B26" t="inlineStr">
        <is>
          <t>SINLIP EZ</t>
        </is>
      </c>
      <c r="C26" t="inlineStr">
        <is>
          <t>20/10 mg</t>
        </is>
      </c>
      <c r="D26" t="inlineStr">
        <is>
          <t>20/10 mg comp.rec.x 30</t>
        </is>
      </c>
      <c r="E26" s="2" t="n">
        <v>52979.02</v>
      </c>
      <c r="F26" s="2" t="n">
        <v>54303.49</v>
      </c>
      <c r="G26" s="2">
        <f>IFERROR(F26/30,"")</f>
        <v/>
      </c>
      <c r="H26" s="6">
        <f>IFERROR((F26-E26)/E26,"")</f>
        <v/>
      </c>
      <c r="I26" s="6">
        <f>IFERROR((G26-G30)/G30,"")</f>
        <v/>
      </c>
      <c r="J26" s="6">
        <f>IFERROR((G26-G23)/G23,"")</f>
        <v/>
      </c>
      <c r="K26" s="3" t="n">
        <v>66119</v>
      </c>
      <c r="L26" s="6">
        <f>IFERROR(K26/SUM($K$23:$K$33),"")</f>
        <v/>
      </c>
      <c r="M26" s="8" t="n">
        <v>4</v>
      </c>
    </row>
    <row r="27">
      <c r="A27" t="inlineStr">
        <is>
          <t>Nolter</t>
        </is>
      </c>
      <c r="B27" t="inlineStr">
        <is>
          <t>ROSUFEN DUO</t>
        </is>
      </c>
      <c r="C27" t="inlineStr">
        <is>
          <t>20/10 mg</t>
        </is>
      </c>
      <c r="D27" t="inlineStr">
        <is>
          <t>20/10 mg comp. x 30</t>
        </is>
      </c>
      <c r="E27" s="2" t="n">
        <v>56844.9</v>
      </c>
      <c r="F27" s="2" t="n">
        <v>60423.68</v>
      </c>
      <c r="G27" s="2">
        <f>IFERROR(F27/30,"")</f>
        <v/>
      </c>
      <c r="H27" s="6">
        <f>IFERROR((F27-E27)/E27,"")</f>
        <v/>
      </c>
      <c r="I27" s="6">
        <f>IFERROR((G27-G30)/G30,"")</f>
        <v/>
      </c>
      <c r="J27" s="6">
        <f>IFERROR((G27-G23)/G23,"")</f>
        <v/>
      </c>
      <c r="K27" s="3" t="n">
        <v>47536</v>
      </c>
      <c r="L27" s="6">
        <f>IFERROR(K27/SUM($K$23:$K$33),"")</f>
        <v/>
      </c>
      <c r="M27" s="8" t="n">
        <v>5</v>
      </c>
    </row>
    <row r="28">
      <c r="A28" t="inlineStr">
        <is>
          <t>Casasco</t>
        </is>
      </c>
      <c r="B28" t="inlineStr">
        <is>
          <t>HIPOLIPOL EZ</t>
        </is>
      </c>
      <c r="C28" t="inlineStr">
        <is>
          <t>20/10 mg</t>
        </is>
      </c>
      <c r="D28" t="inlineStr">
        <is>
          <t>20/10 mg comp. x 30</t>
        </is>
      </c>
      <c r="E28" s="2" t="n">
        <v>53516.29</v>
      </c>
      <c r="F28" s="2" t="n">
        <v>55068.26</v>
      </c>
      <c r="G28" s="2">
        <f>IFERROR(F28/30,"")</f>
        <v/>
      </c>
      <c r="H28" s="6">
        <f>IFERROR((F28-E28)/E28,"")</f>
        <v/>
      </c>
      <c r="I28" s="6">
        <f>IFERROR((G28-G30)/G30,"")</f>
        <v/>
      </c>
      <c r="J28" s="6">
        <f>IFERROR((G28-G23)/G23,"")</f>
        <v/>
      </c>
      <c r="K28" s="3" t="n">
        <v>46324</v>
      </c>
      <c r="L28" s="6">
        <f>IFERROR(K28/SUM($K$23:$K$33),"")</f>
        <v/>
      </c>
      <c r="M28" s="8" t="n">
        <v>6</v>
      </c>
    </row>
    <row r="29">
      <c r="A29" t="inlineStr">
        <is>
          <t>Bagó</t>
        </is>
      </c>
      <c r="B29" t="inlineStr">
        <is>
          <t>ROSUVAST EZ 20/10</t>
        </is>
      </c>
      <c r="C29" t="inlineStr">
        <is>
          <t>20/10 mg</t>
        </is>
      </c>
      <c r="D29" t="inlineStr">
        <is>
          <t>20/10 mg comp. x 30</t>
        </is>
      </c>
      <c r="E29" s="2" t="n">
        <v>51476.3</v>
      </c>
      <c r="F29" s="2" t="n">
        <v>52794.09</v>
      </c>
      <c r="G29" s="2">
        <f>IFERROR(F29/30,"")</f>
        <v/>
      </c>
      <c r="H29" s="6">
        <f>IFERROR((F29-E29)/E29,"")</f>
        <v/>
      </c>
      <c r="I29" s="6">
        <f>IFERROR((G29-G30)/G30,"")</f>
        <v/>
      </c>
      <c r="J29" s="6">
        <f>IFERROR((G29-G23)/G23,"")</f>
        <v/>
      </c>
      <c r="K29" s="3" t="n">
        <v>22318</v>
      </c>
      <c r="L29" s="6">
        <f>IFERROR(K29/SUM($K$23:$K$33),"")</f>
        <v/>
      </c>
      <c r="M29" s="8" t="n">
        <v>7</v>
      </c>
    </row>
    <row r="30">
      <c r="A30" s="9" t="inlineStr">
        <is>
          <t>Siegfried ★ SIE</t>
        </is>
      </c>
      <c r="B30" s="9" t="inlineStr">
        <is>
          <t>ROXOLAN PLUS</t>
        </is>
      </c>
      <c r="C30" s="9" t="inlineStr">
        <is>
          <t>20/10 mg</t>
        </is>
      </c>
      <c r="D30" s="9" t="inlineStr">
        <is>
          <t>20/10 cáps.x 30</t>
        </is>
      </c>
      <c r="E30" s="10" t="n">
        <v>60418.08</v>
      </c>
      <c r="F30" s="10" t="n">
        <v>60418.08</v>
      </c>
      <c r="G30" s="10">
        <f>IFERROR(F30/30,"")</f>
        <v/>
      </c>
      <c r="H30" s="11" t="n"/>
      <c r="I30" s="11" t="n"/>
      <c r="J30" s="11">
        <f>IFERROR((G30-G23)/G23,"")</f>
        <v/>
      </c>
      <c r="K30" s="12" t="n">
        <v>16664</v>
      </c>
      <c r="L30" s="11">
        <f>IFERROR(K30/SUM($K$23:$K$33),"")</f>
        <v/>
      </c>
      <c r="M30" s="13" t="n">
        <v>8</v>
      </c>
    </row>
    <row r="31">
      <c r="A31" t="inlineStr">
        <is>
          <t>Servier</t>
        </is>
      </c>
      <c r="B31" t="inlineStr">
        <is>
          <t>COMBICOL</t>
        </is>
      </c>
      <c r="C31" t="inlineStr">
        <is>
          <t>20/10 mg</t>
        </is>
      </c>
      <c r="D31" t="inlineStr">
        <is>
          <t>20/10 mg cáps. x 30</t>
        </is>
      </c>
      <c r="E31" s="2" t="n">
        <v>81257.13</v>
      </c>
      <c r="F31" s="2" t="n">
        <v>86790.90000000001</v>
      </c>
      <c r="G31" s="2">
        <f>IFERROR(F31/30,"")</f>
        <v/>
      </c>
      <c r="H31" s="6">
        <f>IFERROR((F31-E31)/E31,"")</f>
        <v/>
      </c>
      <c r="I31" s="6">
        <f>IFERROR((G31-G30)/G30,"")</f>
        <v/>
      </c>
      <c r="J31" s="6">
        <f>IFERROR((G31-G23)/G23,"")</f>
        <v/>
      </c>
      <c r="K31" s="3" t="n">
        <v>5748</v>
      </c>
      <c r="L31" s="6">
        <f>IFERROR(K31/SUM($K$23:$K$33),"")</f>
        <v/>
      </c>
      <c r="M31" s="8" t="n">
        <v>9</v>
      </c>
    </row>
    <row r="32">
      <c r="A32" t="inlineStr">
        <is>
          <t>Craveri</t>
        </is>
      </c>
      <c r="B32" t="inlineStr">
        <is>
          <t>LIPOGLUTAREN DUO</t>
        </is>
      </c>
      <c r="C32" t="inlineStr">
        <is>
          <t>20/10 mg</t>
        </is>
      </c>
      <c r="D32" t="inlineStr">
        <is>
          <t>20/10 mg comp.rec.x30+30</t>
        </is>
      </c>
      <c r="E32" s="2" t="n">
        <v>84529.46000000001</v>
      </c>
      <c r="F32" s="2" t="n">
        <v>90987.50999999999</v>
      </c>
      <c r="G32" s="2">
        <f>IFERROR(F32/30,"")</f>
        <v/>
      </c>
      <c r="H32" s="6">
        <f>IFERROR((F32-E32)/E32,"")</f>
        <v/>
      </c>
      <c r="I32" s="6">
        <f>IFERROR((G32-G30)/G30,"")</f>
        <v/>
      </c>
      <c r="J32" s="6">
        <f>IFERROR((G32-G23)/G23,"")</f>
        <v/>
      </c>
      <c r="K32" s="3" t="n">
        <v>3867</v>
      </c>
      <c r="L32" s="6">
        <f>IFERROR(K32/SUM($K$23:$K$33),"")</f>
        <v/>
      </c>
      <c r="M32" s="8" t="n">
        <v>10</v>
      </c>
    </row>
    <row r="33">
      <c r="A33" t="inlineStr">
        <is>
          <t>Laboratorios Bernabó</t>
        </is>
      </c>
      <c r="B33" t="inlineStr">
        <is>
          <t>ROSUBER PLUS</t>
        </is>
      </c>
      <c r="C33" t="inlineStr">
        <is>
          <t>20/10 mg</t>
        </is>
      </c>
      <c r="D33" t="inlineStr">
        <is>
          <t>20/10 mg comp. rec.x 30</t>
        </is>
      </c>
      <c r="E33" s="2" t="n">
        <v>56479.21</v>
      </c>
      <c r="F33" s="2" t="n">
        <v>58117.11</v>
      </c>
      <c r="G33" s="2">
        <f>IFERROR(F33/30,"")</f>
        <v/>
      </c>
      <c r="H33" s="6">
        <f>IFERROR((F33-E33)/E33,"")</f>
        <v/>
      </c>
      <c r="I33" s="6">
        <f>IFERROR((G33-G30)/G30,"")</f>
        <v/>
      </c>
      <c r="J33" s="6">
        <f>IFERROR((G33-G23)/G23,"")</f>
        <v/>
      </c>
      <c r="K33" s="3" t="n"/>
      <c r="L33" s="6">
        <f>IFERROR(K33/SUM($K$23:$K$33),"")</f>
        <v/>
      </c>
      <c r="M33" s="8" t="n">
        <v>11</v>
      </c>
    </row>
  </sheetData>
  <mergeCells count="3">
    <mergeCell ref="A2:M2"/>
    <mergeCell ref="A22:M22"/>
    <mergeCell ref="A9:M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" customWidth="1" min="1" max="1"/>
    <col width="20.83" customWidth="1" min="2" max="2"/>
    <col width="12" customWidth="1" min="3" max="3"/>
    <col width="28.83" customWidth="1" min="4" max="4"/>
    <col width="14.83" customWidth="1" min="5" max="5"/>
    <col width="14.83" customWidth="1" min="6" max="6"/>
    <col width="12.83" customWidth="1" min="7" max="7"/>
    <col width="8.83" customWidth="1" min="8" max="8"/>
    <col width="10.83" customWidth="1" min="9" max="9"/>
    <col width="10.83" customWidth="1" min="10" max="10"/>
    <col width="12.83" customWidth="1" min="11" max="11"/>
    <col width="8.83" customWidth="1" min="12" max="12"/>
    <col width="6.83" customWidth="1" min="13" max="13"/>
  </cols>
  <sheetData>
    <row r="1">
      <c r="A1" s="4" t="inlineStr">
        <is>
          <t>Laboratorio</t>
        </is>
      </c>
      <c r="B1" s="4" t="inlineStr">
        <is>
          <t>Producto</t>
        </is>
      </c>
      <c r="C1" s="4" t="inlineStr">
        <is>
          <t>Dosis</t>
        </is>
      </c>
      <c r="D1" s="4" t="inlineStr">
        <is>
          <t>Presentación</t>
        </is>
      </c>
      <c r="E1" s="4" t="inlineStr">
        <is>
          <t>PVP Feb 2026</t>
        </is>
      </c>
      <c r="F1" s="4" t="inlineStr">
        <is>
          <t>PVP Abr 2026</t>
        </is>
      </c>
      <c r="G1" s="4" t="inlineStr">
        <is>
          <t>PVP/Unidad</t>
        </is>
      </c>
      <c r="H1" s="4" t="inlineStr">
        <is>
          <t>Var %</t>
        </is>
      </c>
      <c r="I1" s="4" t="inlineStr">
        <is>
          <t>VS SIE</t>
        </is>
      </c>
      <c r="J1" s="4" t="inlineStr">
        <is>
          <t>VS Líder</t>
        </is>
      </c>
      <c r="K1" s="4" t="inlineStr">
        <is>
          <t>IQVIA MAT U.</t>
        </is>
      </c>
      <c r="L1" s="4" t="inlineStr">
        <is>
          <t>Share %</t>
        </is>
      </c>
      <c r="M1" s="4" t="inlineStr">
        <is>
          <t>Ranking</t>
        </is>
      </c>
    </row>
    <row r="2" ht="20" customHeight="1">
      <c r="A2" s="5" t="inlineStr">
        <is>
          <t>Dosis: 50 mg — sitagliptina</t>
        </is>
      </c>
    </row>
    <row r="3">
      <c r="A3" t="inlineStr">
        <is>
          <t>Gador</t>
        </is>
      </c>
      <c r="B3" t="inlineStr">
        <is>
          <t>XELEVIA</t>
        </is>
      </c>
      <c r="C3" t="inlineStr">
        <is>
          <t>50 mg</t>
        </is>
      </c>
      <c r="D3" t="inlineStr">
        <is>
          <t>50 mg comp.rec.x 28</t>
        </is>
      </c>
      <c r="E3" s="2" t="n">
        <v>105694.33</v>
      </c>
      <c r="F3" s="2" t="n">
        <v>108230.99</v>
      </c>
      <c r="G3" s="2">
        <f>IFERROR(F3/28,"")</f>
        <v/>
      </c>
      <c r="H3" s="6">
        <f>IFERROR((F3-E3)/E3,"")</f>
        <v/>
      </c>
      <c r="I3" s="6">
        <f>IFERROR((G3-G8)/G8,"")</f>
        <v/>
      </c>
      <c r="J3" s="7" t="inlineStr">
        <is>
          <t>Líder</t>
        </is>
      </c>
      <c r="K3" s="3" t="n">
        <v>54328</v>
      </c>
      <c r="L3" s="6">
        <f>IFERROR(K3/SUM($K$3:$K$14),"")</f>
        <v/>
      </c>
      <c r="M3" s="8" t="n">
        <v>1</v>
      </c>
    </row>
    <row r="4">
      <c r="A4" t="inlineStr">
        <is>
          <t>Casasco</t>
        </is>
      </c>
      <c r="B4" t="inlineStr">
        <is>
          <t>SOTIL</t>
        </is>
      </c>
      <c r="C4" t="inlineStr">
        <is>
          <t>50 mg</t>
        </is>
      </c>
      <c r="D4" t="inlineStr">
        <is>
          <t>50 mg comp.rec.x 30</t>
        </is>
      </c>
      <c r="E4" s="2" t="n">
        <v>94948.49000000001</v>
      </c>
      <c r="F4" s="2" t="n">
        <v>94948.49000000001</v>
      </c>
      <c r="G4" s="2">
        <f>IFERROR(F4/30,"")</f>
        <v/>
      </c>
      <c r="H4" s="6">
        <f>IFERROR((F4-E4)/E4,"")</f>
        <v/>
      </c>
      <c r="I4" s="6">
        <f>IFERROR((G4-G8)/G8,"")</f>
        <v/>
      </c>
      <c r="J4" s="6">
        <f>IFERROR((G4-G3)/G3,"")</f>
        <v/>
      </c>
      <c r="K4" s="3" t="n">
        <v>38044</v>
      </c>
      <c r="L4" s="6">
        <f>IFERROR(K4/SUM($K$3:$K$14),"")</f>
        <v/>
      </c>
      <c r="M4" s="8" t="n">
        <v>2</v>
      </c>
    </row>
    <row r="5">
      <c r="A5" t="inlineStr">
        <is>
          <t>Casasco</t>
        </is>
      </c>
      <c r="B5" t="inlineStr">
        <is>
          <t>SOTIL</t>
        </is>
      </c>
      <c r="C5" t="inlineStr">
        <is>
          <t>50 mg</t>
        </is>
      </c>
      <c r="D5" t="inlineStr">
        <is>
          <t>50 mg comp.rec.x 60</t>
        </is>
      </c>
      <c r="E5" s="2" t="n">
        <v>184200.04</v>
      </c>
      <c r="F5" s="2" t="n">
        <v>184200.04</v>
      </c>
      <c r="G5" s="2">
        <f>IFERROR(F5/60,"")</f>
        <v/>
      </c>
      <c r="H5" s="6">
        <f>IFERROR((F5-E5)/E5,"")</f>
        <v/>
      </c>
      <c r="I5" s="6">
        <f>IFERROR((G5-G8)/G8,"")</f>
        <v/>
      </c>
      <c r="J5" s="6">
        <f>IFERROR((G5-G3)/G3,"")</f>
        <v/>
      </c>
      <c r="K5" s="3" t="n">
        <v>38044</v>
      </c>
      <c r="L5" s="6">
        <f>IFERROR(K5/SUM($K$3:$K$14),"")</f>
        <v/>
      </c>
      <c r="M5" s="8" t="n">
        <v>3</v>
      </c>
    </row>
    <row r="6">
      <c r="A6" t="inlineStr">
        <is>
          <t>Baliarda</t>
        </is>
      </c>
      <c r="B6" t="inlineStr">
        <is>
          <t>SIAGLIX</t>
        </is>
      </c>
      <c r="C6" t="inlineStr">
        <is>
          <t>50 mg</t>
        </is>
      </c>
      <c r="D6" t="inlineStr">
        <is>
          <t>50 mg comp.rec.x 30</t>
        </is>
      </c>
      <c r="E6" s="2" t="n">
        <v>91218.55</v>
      </c>
      <c r="F6" s="2" t="n">
        <v>92130.74000000001</v>
      </c>
      <c r="G6" s="2">
        <f>IFERROR(F6/30,"")</f>
        <v/>
      </c>
      <c r="H6" s="6">
        <f>IFERROR((F6-E6)/E6,"")</f>
        <v/>
      </c>
      <c r="I6" s="6">
        <f>IFERROR((G6-G8)/G8,"")</f>
        <v/>
      </c>
      <c r="J6" s="6">
        <f>IFERROR((G6-G3)/G3,"")</f>
        <v/>
      </c>
      <c r="K6" s="3" t="n">
        <v>31803</v>
      </c>
      <c r="L6" s="6">
        <f>IFERROR(K6/SUM($K$3:$K$14),"")</f>
        <v/>
      </c>
      <c r="M6" s="8" t="n">
        <v>4</v>
      </c>
    </row>
    <row r="7">
      <c r="A7" t="inlineStr">
        <is>
          <t>Nolter</t>
        </is>
      </c>
      <c r="B7" t="inlineStr">
        <is>
          <t>JALZER</t>
        </is>
      </c>
      <c r="C7" t="inlineStr">
        <is>
          <t>50 mg</t>
        </is>
      </c>
      <c r="D7" t="inlineStr">
        <is>
          <t>50 mg comp.x 30</t>
        </is>
      </c>
      <c r="E7" s="2" t="n">
        <v>103214.19</v>
      </c>
      <c r="F7" s="2" t="n">
        <v>109818.46</v>
      </c>
      <c r="G7" s="2">
        <f>IFERROR(F7/30,"")</f>
        <v/>
      </c>
      <c r="H7" s="6">
        <f>IFERROR((F7-E7)/E7,"")</f>
        <v/>
      </c>
      <c r="I7" s="6">
        <f>IFERROR((G7-G8)/G8,"")</f>
        <v/>
      </c>
      <c r="J7" s="6">
        <f>IFERROR((G7-G3)/G3,"")</f>
        <v/>
      </c>
      <c r="K7" s="3" t="n">
        <v>10771</v>
      </c>
      <c r="L7" s="6">
        <f>IFERROR(K7/SUM($K$3:$K$14),"")</f>
        <v/>
      </c>
      <c r="M7" s="8" t="n">
        <v>5</v>
      </c>
    </row>
    <row r="8">
      <c r="A8" s="9" t="inlineStr">
        <is>
          <t>Siegfried ★ SIE</t>
        </is>
      </c>
      <c r="B8" s="9" t="inlineStr">
        <is>
          <t>SILTRAN</t>
        </is>
      </c>
      <c r="C8" s="9" t="inlineStr">
        <is>
          <t>50 mg</t>
        </is>
      </c>
      <c r="D8" s="9" t="inlineStr">
        <is>
          <t>50 mg comp. rec.x 30</t>
        </is>
      </c>
      <c r="E8" s="10" t="n">
        <v>107768.22</v>
      </c>
      <c r="F8" s="10" t="n">
        <v>107768.22</v>
      </c>
      <c r="G8" s="10">
        <f>IFERROR(F8/30,"")</f>
        <v/>
      </c>
      <c r="H8" s="11" t="n"/>
      <c r="I8" s="11" t="n"/>
      <c r="J8" s="11">
        <f>IFERROR((G8-G3)/G3,"")</f>
        <v/>
      </c>
      <c r="K8" s="12" t="n">
        <v>5450</v>
      </c>
      <c r="L8" s="11">
        <f>IFERROR(K8/SUM($K$3:$K$14),"")</f>
        <v/>
      </c>
      <c r="M8" s="13" t="n">
        <v>6</v>
      </c>
    </row>
    <row r="9">
      <c r="A9" t="inlineStr">
        <is>
          <t>Roemmers</t>
        </is>
      </c>
      <c r="B9" t="inlineStr">
        <is>
          <t>AGLIPTIN</t>
        </is>
      </c>
      <c r="C9" t="inlineStr">
        <is>
          <t>50 mg</t>
        </is>
      </c>
      <c r="D9" t="inlineStr">
        <is>
          <t>50 mg comp.x 30</t>
        </is>
      </c>
      <c r="E9" s="2" t="n">
        <v>91544</v>
      </c>
      <c r="F9" s="2" t="n">
        <v>93741</v>
      </c>
      <c r="G9" s="2">
        <f>IFERROR(F9/30,"")</f>
        <v/>
      </c>
      <c r="H9" s="6">
        <f>IFERROR((F9-E9)/E9,"")</f>
        <v/>
      </c>
      <c r="I9" s="6">
        <f>IFERROR((G9-G8)/G8,"")</f>
        <v/>
      </c>
      <c r="J9" s="6">
        <f>IFERROR((G9-G3)/G3,"")</f>
        <v/>
      </c>
      <c r="K9" s="3" t="n">
        <v>3155</v>
      </c>
      <c r="L9" s="6">
        <f>IFERROR(K9/SUM($K$3:$K$14),"")</f>
        <v/>
      </c>
      <c r="M9" s="8" t="n">
        <v>7</v>
      </c>
    </row>
    <row r="10">
      <c r="A10" t="inlineStr">
        <is>
          <t>Elea</t>
        </is>
      </c>
      <c r="B10" t="inlineStr">
        <is>
          <t>ESLIPEL</t>
        </is>
      </c>
      <c r="C10" t="inlineStr">
        <is>
          <t>50 mg</t>
        </is>
      </c>
      <c r="D10" t="inlineStr">
        <is>
          <t>50 mg comp.x 28</t>
        </is>
      </c>
      <c r="E10" s="2" t="n">
        <v>105928.3</v>
      </c>
      <c r="F10" s="2" t="n">
        <v>112378.91</v>
      </c>
      <c r="G10" s="2">
        <f>IFERROR(F10/28,"")</f>
        <v/>
      </c>
      <c r="H10" s="6">
        <f>IFERROR((F10-E10)/E10,"")</f>
        <v/>
      </c>
      <c r="I10" s="6">
        <f>IFERROR((G10-G8)/G8,"")</f>
        <v/>
      </c>
      <c r="J10" s="6">
        <f>IFERROR((G10-G3)/G3,"")</f>
        <v/>
      </c>
      <c r="K10" s="3" t="n">
        <v>2251</v>
      </c>
      <c r="L10" s="6">
        <f>IFERROR(K10/SUM($K$3:$K$14),"")</f>
        <v/>
      </c>
      <c r="M10" s="8" t="n">
        <v>8</v>
      </c>
    </row>
    <row r="11">
      <c r="A11" t="inlineStr">
        <is>
          <t>Beta</t>
        </is>
      </c>
      <c r="B11" t="inlineStr">
        <is>
          <t>SIFEL</t>
        </is>
      </c>
      <c r="C11" t="inlineStr">
        <is>
          <t>50 mg</t>
        </is>
      </c>
      <c r="D11" t="inlineStr">
        <is>
          <t>50 mg comp.x 28</t>
        </is>
      </c>
      <c r="E11" s="2" t="n">
        <v>101883.86</v>
      </c>
      <c r="F11" s="2" t="n">
        <v>108403</v>
      </c>
      <c r="G11" s="2">
        <f>IFERROR(F11/28,"")</f>
        <v/>
      </c>
      <c r="H11" s="6">
        <f>IFERROR((F11-E11)/E11,"")</f>
        <v/>
      </c>
      <c r="I11" s="6">
        <f>IFERROR((G11-G8)/G8,"")</f>
        <v/>
      </c>
      <c r="J11" s="6">
        <f>IFERROR((G11-G3)/G3,"")</f>
        <v/>
      </c>
      <c r="K11" s="3" t="n">
        <v>826</v>
      </c>
      <c r="L11" s="6">
        <f>IFERROR(K11/SUM($K$3:$K$14),"")</f>
        <v/>
      </c>
      <c r="M11" s="8" t="n">
        <v>9</v>
      </c>
    </row>
    <row r="12">
      <c r="A12" t="inlineStr">
        <is>
          <t>Richmond</t>
        </is>
      </c>
      <c r="B12" t="inlineStr">
        <is>
          <t>ZUCIVA</t>
        </is>
      </c>
      <c r="C12" t="inlineStr">
        <is>
          <t>50 mg</t>
        </is>
      </c>
      <c r="D12" t="inlineStr">
        <is>
          <t>50 mg comp.rec.x 30</t>
        </is>
      </c>
      <c r="E12" s="2" t="n">
        <v>105762.76</v>
      </c>
      <c r="F12" s="2" t="n">
        <v>108406.83</v>
      </c>
      <c r="G12" s="2">
        <f>IFERROR(F12/30,"")</f>
        <v/>
      </c>
      <c r="H12" s="6">
        <f>IFERROR((F12-E12)/E12,"")</f>
        <v/>
      </c>
      <c r="I12" s="6">
        <f>IFERROR((G12-G8)/G8,"")</f>
        <v/>
      </c>
      <c r="J12" s="6">
        <f>IFERROR((G12-G3)/G3,"")</f>
        <v/>
      </c>
      <c r="K12" s="3" t="n">
        <v>94</v>
      </c>
      <c r="L12" s="6">
        <f>IFERROR(K12/SUM($K$3:$K$14),"")</f>
        <v/>
      </c>
      <c r="M12" s="8" t="n">
        <v>10</v>
      </c>
    </row>
    <row r="13">
      <c r="A13" t="inlineStr">
        <is>
          <t>Laboratorios Bernabó</t>
        </is>
      </c>
      <c r="B13" t="inlineStr">
        <is>
          <t>SIGLIBER</t>
        </is>
      </c>
      <c r="C13" t="inlineStr">
        <is>
          <t>50 mg</t>
        </is>
      </c>
      <c r="D13" t="inlineStr">
        <is>
          <t>50 mg comp.x 30</t>
        </is>
      </c>
      <c r="E13" s="2" t="n">
        <v>93892.13</v>
      </c>
      <c r="F13" s="2" t="n">
        <v>96708.89</v>
      </c>
      <c r="G13" s="2">
        <f>IFERROR(F13/30,"")</f>
        <v/>
      </c>
      <c r="H13" s="6">
        <f>IFERROR((F13-E13)/E13,"")</f>
        <v/>
      </c>
      <c r="I13" s="6">
        <f>IFERROR((G13-G8)/G8,"")</f>
        <v/>
      </c>
      <c r="J13" s="6">
        <f>IFERROR((G13-G3)/G3,"")</f>
        <v/>
      </c>
      <c r="K13" s="3" t="n"/>
      <c r="L13" s="6">
        <f>IFERROR(K13/SUM($K$3:$K$14),"")</f>
        <v/>
      </c>
      <c r="M13" s="8" t="n">
        <v>11</v>
      </c>
    </row>
    <row r="14">
      <c r="A14" t="inlineStr">
        <is>
          <t>MSD Argentina SRL</t>
        </is>
      </c>
      <c r="B14" t="inlineStr">
        <is>
          <t>JANUVIA</t>
        </is>
      </c>
      <c r="C14" t="inlineStr">
        <is>
          <t>50 mg</t>
        </is>
      </c>
      <c r="D14" t="inlineStr">
        <is>
          <t>50 mg comp.x 28</t>
        </is>
      </c>
      <c r="E14" s="2" t="n">
        <v>121189.68</v>
      </c>
      <c r="F14" s="2" t="n">
        <v>127821.8</v>
      </c>
      <c r="G14" s="2">
        <f>IFERROR(F14/28,"")</f>
        <v/>
      </c>
      <c r="H14" s="6">
        <f>IFERROR((F14-E14)/E14,"")</f>
        <v/>
      </c>
      <c r="I14" s="6">
        <f>IFERROR((G14-G8)/G8,"")</f>
        <v/>
      </c>
      <c r="J14" s="6">
        <f>IFERROR((G14-G3)/G3,"")</f>
        <v/>
      </c>
      <c r="K14" s="3" t="n"/>
      <c r="L14" s="6">
        <f>IFERROR(K14/SUM($K$3:$K$14),"")</f>
        <v/>
      </c>
      <c r="M14" s="8" t="n">
        <v>12</v>
      </c>
    </row>
    <row r="16" ht="20" customHeight="1">
      <c r="A16" s="5" t="inlineStr">
        <is>
          <t>Dosis: 100 mg — sitagliptina</t>
        </is>
      </c>
    </row>
    <row r="17">
      <c r="A17" t="inlineStr">
        <is>
          <t>Gador</t>
        </is>
      </c>
      <c r="B17" t="inlineStr">
        <is>
          <t>XELEVIA</t>
        </is>
      </c>
      <c r="C17" t="inlineStr">
        <is>
          <t>100 mg</t>
        </is>
      </c>
      <c r="D17" t="inlineStr">
        <is>
          <t>100 mg comp.rec.x 28</t>
        </is>
      </c>
      <c r="E17" s="2" t="n">
        <v>113276.03</v>
      </c>
      <c r="F17" s="2" t="n">
        <v>115994.65</v>
      </c>
      <c r="G17" s="2">
        <f>IFERROR(F17/28,"")</f>
        <v/>
      </c>
      <c r="H17" s="6">
        <f>IFERROR((F17-E17)/E17,"")</f>
        <v/>
      </c>
      <c r="I17" s="6">
        <f>IFERROR((G17-G22)/G22,"")</f>
        <v/>
      </c>
      <c r="J17" s="7" t="inlineStr">
        <is>
          <t>Líder</t>
        </is>
      </c>
      <c r="K17" s="3" t="n">
        <v>216399</v>
      </c>
      <c r="L17" s="6">
        <f>IFERROR(K17/SUM($K$17:$K$28),"")</f>
        <v/>
      </c>
      <c r="M17" s="8" t="n">
        <v>1</v>
      </c>
    </row>
    <row r="18">
      <c r="A18" t="inlineStr">
        <is>
          <t>Casasco</t>
        </is>
      </c>
      <c r="B18" t="inlineStr">
        <is>
          <t>SOTIL</t>
        </is>
      </c>
      <c r="C18" t="inlineStr">
        <is>
          <t>100 mg</t>
        </is>
      </c>
      <c r="D18" t="inlineStr">
        <is>
          <t>100 mg comp.rec.x 30</t>
        </is>
      </c>
      <c r="E18" s="2" t="n">
        <v>102260.61</v>
      </c>
      <c r="F18" s="2" t="n">
        <v>102260.61</v>
      </c>
      <c r="G18" s="2">
        <f>IFERROR(F18/30,"")</f>
        <v/>
      </c>
      <c r="H18" s="6">
        <f>IFERROR((F18-E18)/E18,"")</f>
        <v/>
      </c>
      <c r="I18" s="6">
        <f>IFERROR((G18-G22)/G22,"")</f>
        <v/>
      </c>
      <c r="J18" s="6">
        <f>IFERROR((G18-G17)/G17,"")</f>
        <v/>
      </c>
      <c r="K18" s="3" t="n">
        <v>148980</v>
      </c>
      <c r="L18" s="6">
        <f>IFERROR(K18/SUM($K$17:$K$28),"")</f>
        <v/>
      </c>
      <c r="M18" s="8" t="n">
        <v>2</v>
      </c>
    </row>
    <row r="19">
      <c r="A19" t="inlineStr">
        <is>
          <t>Casasco</t>
        </is>
      </c>
      <c r="B19" t="inlineStr">
        <is>
          <t>SOTIL</t>
        </is>
      </c>
      <c r="C19" t="inlineStr">
        <is>
          <t>100 mg</t>
        </is>
      </c>
      <c r="D19" t="inlineStr">
        <is>
          <t>100 mg comp.rec.x 60</t>
        </is>
      </c>
      <c r="E19" s="2" t="n">
        <v>198385.58</v>
      </c>
      <c r="F19" s="2" t="n">
        <v>198385.58</v>
      </c>
      <c r="G19" s="2">
        <f>IFERROR(F19/60,"")</f>
        <v/>
      </c>
      <c r="H19" s="6">
        <f>IFERROR((F19-E19)/E19,"")</f>
        <v/>
      </c>
      <c r="I19" s="6">
        <f>IFERROR((G19-G22)/G22,"")</f>
        <v/>
      </c>
      <c r="J19" s="6">
        <f>IFERROR((G19-G17)/G17,"")</f>
        <v/>
      </c>
      <c r="K19" s="3" t="n">
        <v>148980</v>
      </c>
      <c r="L19" s="6">
        <f>IFERROR(K19/SUM($K$17:$K$28),"")</f>
        <v/>
      </c>
      <c r="M19" s="8" t="n">
        <v>3</v>
      </c>
    </row>
    <row r="20">
      <c r="A20" t="inlineStr">
        <is>
          <t>Baliarda</t>
        </is>
      </c>
      <c r="B20" t="inlineStr">
        <is>
          <t>SIAGLIX</t>
        </is>
      </c>
      <c r="C20" t="inlineStr">
        <is>
          <t>100 mg</t>
        </is>
      </c>
      <c r="D20" t="inlineStr">
        <is>
          <t>100 mg comp.rec.x 30</t>
        </is>
      </c>
      <c r="E20" s="2" t="n">
        <v>97949.91</v>
      </c>
      <c r="F20" s="2" t="n">
        <v>98929.41</v>
      </c>
      <c r="G20" s="2">
        <f>IFERROR(F20/30,"")</f>
        <v/>
      </c>
      <c r="H20" s="6">
        <f>IFERROR((F20-E20)/E20,"")</f>
        <v/>
      </c>
      <c r="I20" s="6">
        <f>IFERROR((G20-G22)/G22,"")</f>
        <v/>
      </c>
      <c r="J20" s="6">
        <f>IFERROR((G20-G17)/G17,"")</f>
        <v/>
      </c>
      <c r="K20" s="3" t="n">
        <v>75891</v>
      </c>
      <c r="L20" s="6">
        <f>IFERROR(K20/SUM($K$17:$K$28),"")</f>
        <v/>
      </c>
      <c r="M20" s="8" t="n">
        <v>4</v>
      </c>
    </row>
    <row r="21">
      <c r="A21" t="inlineStr">
        <is>
          <t>Nolter</t>
        </is>
      </c>
      <c r="B21" t="inlineStr">
        <is>
          <t>JALZER</t>
        </is>
      </c>
      <c r="C21" t="inlineStr">
        <is>
          <t>100 mg</t>
        </is>
      </c>
      <c r="D21" t="inlineStr">
        <is>
          <t>100 mg comp.x 30</t>
        </is>
      </c>
      <c r="E21" s="2" t="n">
        <v>110705.32</v>
      </c>
      <c r="F21" s="2" t="n">
        <v>117788.91</v>
      </c>
      <c r="G21" s="2">
        <f>IFERROR(F21/30,"")</f>
        <v/>
      </c>
      <c r="H21" s="6">
        <f>IFERROR((F21-E21)/E21,"")</f>
        <v/>
      </c>
      <c r="I21" s="6">
        <f>IFERROR((G21-G22)/G22,"")</f>
        <v/>
      </c>
      <c r="J21" s="6">
        <f>IFERROR((G21-G17)/G17,"")</f>
        <v/>
      </c>
      <c r="K21" s="3" t="n">
        <v>30600</v>
      </c>
      <c r="L21" s="6">
        <f>IFERROR(K21/SUM($K$17:$K$28),"")</f>
        <v/>
      </c>
      <c r="M21" s="8" t="n">
        <v>5</v>
      </c>
    </row>
    <row r="22">
      <c r="A22" s="9" t="inlineStr">
        <is>
          <t>Siegfried ★ SIE</t>
        </is>
      </c>
      <c r="B22" s="9" t="inlineStr">
        <is>
          <t>SILTRAN</t>
        </is>
      </c>
      <c r="C22" s="9" t="inlineStr">
        <is>
          <t>100 mg</t>
        </is>
      </c>
      <c r="D22" s="9" t="inlineStr">
        <is>
          <t>100 mg comp. rec.x 30</t>
        </is>
      </c>
      <c r="E22" s="10" t="n">
        <v>115577.51</v>
      </c>
      <c r="F22" s="10" t="n">
        <v>115577.51</v>
      </c>
      <c r="G22" s="10">
        <f>IFERROR(F22/30,"")</f>
        <v/>
      </c>
      <c r="H22" s="11" t="n"/>
      <c r="I22" s="11" t="n"/>
      <c r="J22" s="11">
        <f>IFERROR((G22-G17)/G17,"")</f>
        <v/>
      </c>
      <c r="K22" s="12" t="n">
        <v>24190</v>
      </c>
      <c r="L22" s="11">
        <f>IFERROR(K22/SUM($K$17:$K$28),"")</f>
        <v/>
      </c>
      <c r="M22" s="13" t="n">
        <v>6</v>
      </c>
    </row>
    <row r="23">
      <c r="A23" t="inlineStr">
        <is>
          <t>Elea</t>
        </is>
      </c>
      <c r="B23" t="inlineStr">
        <is>
          <t>ESLIPEL</t>
        </is>
      </c>
      <c r="C23" t="inlineStr">
        <is>
          <t>100 mg</t>
        </is>
      </c>
      <c r="D23" t="inlineStr">
        <is>
          <t>100 mg comp.x 28</t>
        </is>
      </c>
      <c r="E23" s="2" t="n">
        <v>113526.82</v>
      </c>
      <c r="F23" s="2" t="n">
        <v>120440.14</v>
      </c>
      <c r="G23" s="2">
        <f>IFERROR(F23/28,"")</f>
        <v/>
      </c>
      <c r="H23" s="6">
        <f>IFERROR((F23-E23)/E23,"")</f>
        <v/>
      </c>
      <c r="I23" s="6">
        <f>IFERROR((G23-G22)/G22,"")</f>
        <v/>
      </c>
      <c r="J23" s="6">
        <f>IFERROR((G23-G17)/G17,"")</f>
        <v/>
      </c>
      <c r="K23" s="3" t="n">
        <v>22453</v>
      </c>
      <c r="L23" s="6">
        <f>IFERROR(K23/SUM($K$17:$K$28),"")</f>
        <v/>
      </c>
      <c r="M23" s="8" t="n">
        <v>7</v>
      </c>
    </row>
    <row r="24">
      <c r="A24" t="inlineStr">
        <is>
          <t>Roemmers</t>
        </is>
      </c>
      <c r="B24" t="inlineStr">
        <is>
          <t>AGLIPTIN</t>
        </is>
      </c>
      <c r="C24" t="inlineStr">
        <is>
          <t>100 mg</t>
        </is>
      </c>
      <c r="D24" t="inlineStr">
        <is>
          <t>100 mg comp.x 30</t>
        </is>
      </c>
      <c r="E24" s="2" t="n">
        <v>98369</v>
      </c>
      <c r="F24" s="2" t="n">
        <v>100730</v>
      </c>
      <c r="G24" s="2">
        <f>IFERROR(F24/30,"")</f>
        <v/>
      </c>
      <c r="H24" s="6">
        <f>IFERROR((F24-E24)/E24,"")</f>
        <v/>
      </c>
      <c r="I24" s="6">
        <f>IFERROR((G24-G22)/G22,"")</f>
        <v/>
      </c>
      <c r="J24" s="6">
        <f>IFERROR((G24-G17)/G17,"")</f>
        <v/>
      </c>
      <c r="K24" s="3" t="n">
        <v>11413</v>
      </c>
      <c r="L24" s="6">
        <f>IFERROR(K24/SUM($K$17:$K$28),"")</f>
        <v/>
      </c>
      <c r="M24" s="8" t="n">
        <v>8</v>
      </c>
    </row>
    <row r="25">
      <c r="A25" t="inlineStr">
        <is>
          <t>Beta</t>
        </is>
      </c>
      <c r="B25" t="inlineStr">
        <is>
          <t>SIFEL</t>
        </is>
      </c>
      <c r="C25" t="inlineStr">
        <is>
          <t>100 mg</t>
        </is>
      </c>
      <c r="D25" t="inlineStr">
        <is>
          <t>100 mg comp.x 28</t>
        </is>
      </c>
      <c r="E25" s="2" t="n">
        <v>106176.78</v>
      </c>
      <c r="F25" s="2" t="n">
        <v>112970.61</v>
      </c>
      <c r="G25" s="2">
        <f>IFERROR(F25/28,"")</f>
        <v/>
      </c>
      <c r="H25" s="6">
        <f>IFERROR((F25-E25)/E25,"")</f>
        <v/>
      </c>
      <c r="I25" s="6">
        <f>IFERROR((G25-G22)/G22,"")</f>
        <v/>
      </c>
      <c r="J25" s="6">
        <f>IFERROR((G25-G17)/G17,"")</f>
        <v/>
      </c>
      <c r="K25" s="3" t="n">
        <v>3757</v>
      </c>
      <c r="L25" s="6">
        <f>IFERROR(K25/SUM($K$17:$K$28),"")</f>
        <v/>
      </c>
      <c r="M25" s="8" t="n">
        <v>9</v>
      </c>
    </row>
    <row r="26">
      <c r="A26" t="inlineStr">
        <is>
          <t>Richmond</t>
        </is>
      </c>
      <c r="B26" t="inlineStr">
        <is>
          <t>ZUCIVA</t>
        </is>
      </c>
      <c r="C26" t="inlineStr">
        <is>
          <t>100 mg</t>
        </is>
      </c>
      <c r="D26" t="inlineStr">
        <is>
          <t>100 mg comp.rec.x 30</t>
        </is>
      </c>
      <c r="E26" s="2" t="n">
        <v>113489.9</v>
      </c>
      <c r="F26" s="2" t="n">
        <v>116327.15</v>
      </c>
      <c r="G26" s="2">
        <f>IFERROR(F26/30,"")</f>
        <v/>
      </c>
      <c r="H26" s="6">
        <f>IFERROR((F26-E26)/E26,"")</f>
        <v/>
      </c>
      <c r="I26" s="6">
        <f>IFERROR((G26-G22)/G22,"")</f>
        <v/>
      </c>
      <c r="J26" s="6">
        <f>IFERROR((G26-G17)/G17,"")</f>
        <v/>
      </c>
      <c r="K26" s="3" t="n">
        <v>506</v>
      </c>
      <c r="L26" s="6">
        <f>IFERROR(K26/SUM($K$17:$K$28),"")</f>
        <v/>
      </c>
      <c r="M26" s="8" t="n">
        <v>10</v>
      </c>
    </row>
    <row r="27">
      <c r="A27" t="inlineStr">
        <is>
          <t>Laboratorios Bernabó</t>
        </is>
      </c>
      <c r="B27" t="inlineStr">
        <is>
          <t>SIGLIBER</t>
        </is>
      </c>
      <c r="C27" t="inlineStr">
        <is>
          <t>100 mg</t>
        </is>
      </c>
      <c r="D27" t="inlineStr">
        <is>
          <t>100 mg comp.x 30</t>
        </is>
      </c>
      <c r="E27" s="2" t="n">
        <v>99922.34</v>
      </c>
      <c r="F27" s="2" t="n">
        <v>102920.01</v>
      </c>
      <c r="G27" s="2">
        <f>IFERROR(F27/30,"")</f>
        <v/>
      </c>
      <c r="H27" s="6">
        <f>IFERROR((F27-E27)/E27,"")</f>
        <v/>
      </c>
      <c r="I27" s="6">
        <f>IFERROR((G27-G22)/G22,"")</f>
        <v/>
      </c>
      <c r="J27" s="6">
        <f>IFERROR((G27-G17)/G17,"")</f>
        <v/>
      </c>
      <c r="K27" s="3" t="n"/>
      <c r="L27" s="6">
        <f>IFERROR(K27/SUM($K$17:$K$28),"")</f>
        <v/>
      </c>
      <c r="M27" s="8" t="n">
        <v>11</v>
      </c>
    </row>
    <row r="28">
      <c r="A28" t="inlineStr">
        <is>
          <t>MSD Argentina SRL</t>
        </is>
      </c>
      <c r="B28" t="inlineStr">
        <is>
          <t>JANUVIA</t>
        </is>
      </c>
      <c r="C28" t="inlineStr">
        <is>
          <t>100 mg</t>
        </is>
      </c>
      <c r="D28" t="inlineStr">
        <is>
          <t>100 mg comp.x 28</t>
        </is>
      </c>
      <c r="E28" s="2" t="n">
        <v>129985.45</v>
      </c>
      <c r="F28" s="2" t="n">
        <v>137098.91</v>
      </c>
      <c r="G28" s="2">
        <f>IFERROR(F28/28,"")</f>
        <v/>
      </c>
      <c r="H28" s="6">
        <f>IFERROR((F28-E28)/E28,"")</f>
        <v/>
      </c>
      <c r="I28" s="6">
        <f>IFERROR((G28-G22)/G22,"")</f>
        <v/>
      </c>
      <c r="J28" s="6">
        <f>IFERROR((G28-G17)/G17,"")</f>
        <v/>
      </c>
      <c r="K28" s="3" t="n"/>
      <c r="L28" s="6">
        <f>IFERROR(K28/SUM($K$17:$K$28),"")</f>
        <v/>
      </c>
      <c r="M28" s="8" t="n">
        <v>12</v>
      </c>
    </row>
  </sheetData>
  <mergeCells count="2">
    <mergeCell ref="A16:M16"/>
    <mergeCell ref="A2:M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" customWidth="1" min="1" max="1"/>
    <col width="20.83" customWidth="1" min="2" max="2"/>
    <col width="12" customWidth="1" min="3" max="3"/>
    <col width="28.83" customWidth="1" min="4" max="4"/>
    <col width="14.83" customWidth="1" min="5" max="5"/>
    <col width="14.83" customWidth="1" min="6" max="6"/>
    <col width="12.83" customWidth="1" min="7" max="7"/>
    <col width="8.83" customWidth="1" min="8" max="8"/>
    <col width="10.83" customWidth="1" min="9" max="9"/>
    <col width="10.83" customWidth="1" min="10" max="10"/>
    <col width="12.83" customWidth="1" min="11" max="11"/>
    <col width="8.83" customWidth="1" min="12" max="12"/>
    <col width="6.83" customWidth="1" min="13" max="13"/>
  </cols>
  <sheetData>
    <row r="1">
      <c r="A1" s="4" t="inlineStr">
        <is>
          <t>Laboratorio</t>
        </is>
      </c>
      <c r="B1" s="4" t="inlineStr">
        <is>
          <t>Producto</t>
        </is>
      </c>
      <c r="C1" s="4" t="inlineStr">
        <is>
          <t>Dosis</t>
        </is>
      </c>
      <c r="D1" s="4" t="inlineStr">
        <is>
          <t>Presentación</t>
        </is>
      </c>
      <c r="E1" s="4" t="inlineStr">
        <is>
          <t>PVP Feb 2026</t>
        </is>
      </c>
      <c r="F1" s="4" t="inlineStr">
        <is>
          <t>PVP Abr 2026</t>
        </is>
      </c>
      <c r="G1" s="4" t="inlineStr">
        <is>
          <t>PVP/Unidad</t>
        </is>
      </c>
      <c r="H1" s="4" t="inlineStr">
        <is>
          <t>Var %</t>
        </is>
      </c>
      <c r="I1" s="4" t="inlineStr">
        <is>
          <t>VS SIE</t>
        </is>
      </c>
      <c r="J1" s="4" t="inlineStr">
        <is>
          <t>VS Líder</t>
        </is>
      </c>
      <c r="K1" s="4" t="inlineStr">
        <is>
          <t>IQVIA MAT U.</t>
        </is>
      </c>
      <c r="L1" s="4" t="inlineStr">
        <is>
          <t>Share %</t>
        </is>
      </c>
      <c r="M1" s="4" t="inlineStr">
        <is>
          <t>Ranking</t>
        </is>
      </c>
    </row>
    <row r="2" ht="20" customHeight="1">
      <c r="A2" s="5" t="inlineStr">
        <is>
          <t>Dosis: 50/500 mg — sitagliptina+metformina,clorh.</t>
        </is>
      </c>
    </row>
    <row r="3">
      <c r="A3" t="inlineStr">
        <is>
          <t>Gador</t>
        </is>
      </c>
      <c r="B3" t="inlineStr">
        <is>
          <t>XELEVIA MET</t>
        </is>
      </c>
      <c r="C3" t="inlineStr">
        <is>
          <t>50/500 mg</t>
        </is>
      </c>
      <c r="D3" t="inlineStr">
        <is>
          <t>50/500 mg comp.rec.x 28</t>
        </is>
      </c>
      <c r="E3" s="2" t="n">
        <v>63644.34</v>
      </c>
      <c r="F3" s="2" t="n">
        <v>65171.8</v>
      </c>
      <c r="G3" s="2">
        <f>IFERROR(F3/28,"")</f>
        <v/>
      </c>
      <c r="H3" s="6">
        <f>IFERROR((F3-E3)/E3,"")</f>
        <v/>
      </c>
      <c r="I3" s="6">
        <f>IFERROR((G3-G6)/G6,"")</f>
        <v/>
      </c>
      <c r="J3" s="7" t="inlineStr">
        <is>
          <t>Líder</t>
        </is>
      </c>
      <c r="K3" s="3" t="n">
        <v>32213</v>
      </c>
      <c r="L3" s="6">
        <f>IFERROR(K3/SUM($K$3:$K$8),"")</f>
        <v/>
      </c>
      <c r="M3" s="8" t="n">
        <v>1</v>
      </c>
    </row>
    <row r="4">
      <c r="A4" t="inlineStr">
        <is>
          <t>Casasco</t>
        </is>
      </c>
      <c r="B4" t="inlineStr">
        <is>
          <t>SOTIL MET</t>
        </is>
      </c>
      <c r="C4" t="inlineStr">
        <is>
          <t>50/500 mg</t>
        </is>
      </c>
      <c r="D4" t="inlineStr">
        <is>
          <t>50/500 mg comp.rec.x 30</t>
        </is>
      </c>
      <c r="E4" s="2" t="n">
        <v>57729.14</v>
      </c>
      <c r="F4" s="2" t="n">
        <v>57729.14</v>
      </c>
      <c r="G4" s="2">
        <f>IFERROR(F4/30,"")</f>
        <v/>
      </c>
      <c r="H4" s="6">
        <f>IFERROR((F4-E4)/E4,"")</f>
        <v/>
      </c>
      <c r="I4" s="6">
        <f>IFERROR((G4-G6)/G6,"")</f>
        <v/>
      </c>
      <c r="J4" s="6">
        <f>IFERROR((G4-G3)/G3,"")</f>
        <v/>
      </c>
      <c r="K4" s="3" t="n">
        <v>9916</v>
      </c>
      <c r="L4" s="6">
        <f>IFERROR(K4/SUM($K$3:$K$8),"")</f>
        <v/>
      </c>
      <c r="M4" s="8" t="n">
        <v>2</v>
      </c>
    </row>
    <row r="5">
      <c r="A5" t="inlineStr">
        <is>
          <t>Baliarda</t>
        </is>
      </c>
      <c r="B5" t="inlineStr">
        <is>
          <t>SIAGLIX MET</t>
        </is>
      </c>
      <c r="C5" t="inlineStr">
        <is>
          <t>50/500 mg</t>
        </is>
      </c>
      <c r="D5" t="inlineStr">
        <is>
          <t>50/500 mg comp. rec.x 30</t>
        </is>
      </c>
      <c r="E5" s="2" t="n">
        <v>55712.1</v>
      </c>
      <c r="F5" s="2" t="n">
        <v>55990.66</v>
      </c>
      <c r="G5" s="2">
        <f>IFERROR(F5/30,"")</f>
        <v/>
      </c>
      <c r="H5" s="6">
        <f>IFERROR((F5-E5)/E5,"")</f>
        <v/>
      </c>
      <c r="I5" s="6">
        <f>IFERROR((G5-G6)/G6,"")</f>
        <v/>
      </c>
      <c r="J5" s="6">
        <f>IFERROR((G5-G3)/G3,"")</f>
        <v/>
      </c>
      <c r="K5" s="3" t="n">
        <v>6186</v>
      </c>
      <c r="L5" s="6">
        <f>IFERROR(K5/SUM($K$3:$K$8),"")</f>
        <v/>
      </c>
      <c r="M5" s="8" t="n">
        <v>3</v>
      </c>
    </row>
    <row r="6">
      <c r="A6" s="9" t="inlineStr">
        <is>
          <t>Siegfried ★ SIE</t>
        </is>
      </c>
      <c r="B6" s="9" t="inlineStr">
        <is>
          <t>SILTRAN MET</t>
        </is>
      </c>
      <c r="C6" s="9" t="inlineStr">
        <is>
          <t>50/500 mg</t>
        </is>
      </c>
      <c r="D6" s="9" t="inlineStr">
        <is>
          <t>50/500 mg comp. rec.x 30</t>
        </is>
      </c>
      <c r="E6" s="10" t="n">
        <v>60912.47</v>
      </c>
      <c r="F6" s="10" t="n">
        <v>60912.47</v>
      </c>
      <c r="G6" s="10">
        <f>IFERROR(F6/30,"")</f>
        <v/>
      </c>
      <c r="H6" s="11" t="n"/>
      <c r="I6" s="11" t="n"/>
      <c r="J6" s="11">
        <f>IFERROR((G6-G3)/G3,"")</f>
        <v/>
      </c>
      <c r="K6" s="12" t="n">
        <v>2262</v>
      </c>
      <c r="L6" s="11">
        <f>IFERROR(K6/SUM($K$3:$K$8),"")</f>
        <v/>
      </c>
      <c r="M6" s="13" t="n">
        <v>4</v>
      </c>
    </row>
    <row r="7">
      <c r="A7" t="inlineStr">
        <is>
          <t>Roemmers</t>
        </is>
      </c>
      <c r="B7" t="inlineStr">
        <is>
          <t>AGLIPTIN MET</t>
        </is>
      </c>
      <c r="C7" t="inlineStr">
        <is>
          <t>50/500 mg</t>
        </is>
      </c>
      <c r="D7" t="inlineStr">
        <is>
          <t>50/500 mg comp.x 30</t>
        </is>
      </c>
      <c r="E7" s="2" t="n">
        <v>55746</v>
      </c>
      <c r="F7" s="2" t="n">
        <v>56136</v>
      </c>
      <c r="G7" s="2">
        <f>IFERROR(F7/30,"")</f>
        <v/>
      </c>
      <c r="H7" s="6">
        <f>IFERROR((F7-E7)/E7,"")</f>
        <v/>
      </c>
      <c r="I7" s="6">
        <f>IFERROR((G7-G6)/G6,"")</f>
        <v/>
      </c>
      <c r="J7" s="6">
        <f>IFERROR((G7-G3)/G3,"")</f>
        <v/>
      </c>
      <c r="K7" s="3" t="n">
        <v>711</v>
      </c>
      <c r="L7" s="6">
        <f>IFERROR(K7/SUM($K$3:$K$8),"")</f>
        <v/>
      </c>
      <c r="M7" s="8" t="n">
        <v>5</v>
      </c>
    </row>
    <row r="8">
      <c r="A8" t="inlineStr">
        <is>
          <t>MSD Argentina SRL</t>
        </is>
      </c>
      <c r="B8" t="inlineStr">
        <is>
          <t>JANUMET</t>
        </is>
      </c>
      <c r="C8" t="inlineStr">
        <is>
          <t>50/500 mg</t>
        </is>
      </c>
      <c r="D8" t="inlineStr">
        <is>
          <t>50/500 mg comp.x 28</t>
        </is>
      </c>
      <c r="E8" s="2" t="n">
        <v>71180.54000000001</v>
      </c>
      <c r="F8" s="2" t="n">
        <v>75075.90000000001</v>
      </c>
      <c r="G8" s="2">
        <f>IFERROR(F8/28,"")</f>
        <v/>
      </c>
      <c r="H8" s="6">
        <f>IFERROR((F8-E8)/E8,"")</f>
        <v/>
      </c>
      <c r="I8" s="6">
        <f>IFERROR((G8-G6)/G6,"")</f>
        <v/>
      </c>
      <c r="J8" s="6">
        <f>IFERROR((G8-G3)/G3,"")</f>
        <v/>
      </c>
      <c r="K8" s="3" t="n"/>
      <c r="L8" s="6">
        <f>IFERROR(K8/SUM($K$3:$K$8),"")</f>
        <v/>
      </c>
      <c r="M8" s="8" t="n">
        <v>6</v>
      </c>
    </row>
    <row r="10" ht="20" customHeight="1">
      <c r="A10" s="5" t="inlineStr">
        <is>
          <t>Dosis: 50/850 mg — sitagliptina+metformina,clorh.</t>
        </is>
      </c>
    </row>
    <row r="11">
      <c r="A11" t="inlineStr">
        <is>
          <t>Gador</t>
        </is>
      </c>
      <c r="B11" t="inlineStr">
        <is>
          <t>XELEVIA MET</t>
        </is>
      </c>
      <c r="C11" t="inlineStr">
        <is>
          <t>50/850 mg</t>
        </is>
      </c>
      <c r="D11" t="inlineStr">
        <is>
          <t>50/850 mg comp.rec.x 56</t>
        </is>
      </c>
      <c r="E11" s="2" t="n">
        <v>127066.75</v>
      </c>
      <c r="F11" s="2" t="n">
        <v>130116.34</v>
      </c>
      <c r="G11" s="2">
        <f>IFERROR(F11/56,"")</f>
        <v/>
      </c>
      <c r="H11" s="6">
        <f>IFERROR((F11-E11)/E11,"")</f>
        <v/>
      </c>
      <c r="I11" s="6">
        <f>IFERROR((G11-G16)/G16,"")</f>
        <v/>
      </c>
      <c r="J11" s="7" t="inlineStr">
        <is>
          <t>Líder</t>
        </is>
      </c>
      <c r="K11" s="3" t="n">
        <v>138532</v>
      </c>
      <c r="L11" s="6">
        <f>IFERROR(K11/SUM($K$11:$K$24),"")</f>
        <v/>
      </c>
      <c r="M11" s="8" t="n">
        <v>1</v>
      </c>
    </row>
    <row r="12">
      <c r="A12" t="inlineStr">
        <is>
          <t>Gador</t>
        </is>
      </c>
      <c r="B12" t="inlineStr">
        <is>
          <t>XELEVIA MET</t>
        </is>
      </c>
      <c r="C12" t="inlineStr">
        <is>
          <t>50/850 mg</t>
        </is>
      </c>
      <c r="D12" t="inlineStr">
        <is>
          <t>50/850 mg comp.rec.x 28</t>
        </is>
      </c>
      <c r="E12" s="2" t="n">
        <v>62582.74</v>
      </c>
      <c r="F12" s="2" t="n">
        <v>64084.72</v>
      </c>
      <c r="G12" s="2">
        <f>IFERROR(F12/28,"")</f>
        <v/>
      </c>
      <c r="H12" s="6">
        <f>IFERROR((F12-E12)/E12,"")</f>
        <v/>
      </c>
      <c r="I12" s="6">
        <f>IFERROR((G12-G16)/G16,"")</f>
        <v/>
      </c>
      <c r="J12" s="6">
        <f>IFERROR((G12-G11)/G11,"")</f>
        <v/>
      </c>
      <c r="K12" s="3" t="n">
        <v>36932</v>
      </c>
      <c r="L12" s="6">
        <f>IFERROR(K12/SUM($K$11:$K$24),"")</f>
        <v/>
      </c>
      <c r="M12" s="8" t="n">
        <v>2</v>
      </c>
    </row>
    <row r="13">
      <c r="A13" t="inlineStr">
        <is>
          <t>Casasco</t>
        </is>
      </c>
      <c r="B13" t="inlineStr">
        <is>
          <t>SOTIL MET</t>
        </is>
      </c>
      <c r="C13" t="inlineStr">
        <is>
          <t>50/850 mg</t>
        </is>
      </c>
      <c r="D13" t="inlineStr">
        <is>
          <t>50/850 mg comp.rec.x 60</t>
        </is>
      </c>
      <c r="E13" s="2" t="n">
        <v>113554.01</v>
      </c>
      <c r="F13" s="2" t="n">
        <v>113554.01</v>
      </c>
      <c r="G13" s="2">
        <f>IFERROR(F13/60,"")</f>
        <v/>
      </c>
      <c r="H13" s="6">
        <f>IFERROR((F13-E13)/E13,"")</f>
        <v/>
      </c>
      <c r="I13" s="6">
        <f>IFERROR((G13-G16)/G16,"")</f>
        <v/>
      </c>
      <c r="J13" s="6">
        <f>IFERROR((G13-G11)/G11,"")</f>
        <v/>
      </c>
      <c r="K13" s="3" t="n">
        <v>34296</v>
      </c>
      <c r="L13" s="6">
        <f>IFERROR(K13/SUM($K$11:$K$24),"")</f>
        <v/>
      </c>
      <c r="M13" s="8" t="n">
        <v>3</v>
      </c>
    </row>
    <row r="14">
      <c r="A14" t="inlineStr">
        <is>
          <t>Baliarda</t>
        </is>
      </c>
      <c r="B14" t="inlineStr">
        <is>
          <t>SIAGLIX MET</t>
        </is>
      </c>
      <c r="C14" t="inlineStr">
        <is>
          <t>50/850 mg</t>
        </is>
      </c>
      <c r="D14" t="inlineStr">
        <is>
          <t>50/850 mg comp. rec.x 60</t>
        </is>
      </c>
      <c r="E14" s="2" t="n">
        <v>106402.16</v>
      </c>
      <c r="F14" s="2" t="n">
        <v>106934.17</v>
      </c>
      <c r="G14" s="2">
        <f>IFERROR(F14/60,"")</f>
        <v/>
      </c>
      <c r="H14" s="6">
        <f>IFERROR((F14-E14)/E14,"")</f>
        <v/>
      </c>
      <c r="I14" s="6">
        <f>IFERROR((G14-G16)/G16,"")</f>
        <v/>
      </c>
      <c r="J14" s="6">
        <f>IFERROR((G14-G11)/G11,"")</f>
        <v/>
      </c>
      <c r="K14" s="3" t="n">
        <v>18760</v>
      </c>
      <c r="L14" s="6">
        <f>IFERROR(K14/SUM($K$11:$K$24),"")</f>
        <v/>
      </c>
      <c r="M14" s="8" t="n">
        <v>4</v>
      </c>
    </row>
    <row r="15">
      <c r="A15" t="inlineStr">
        <is>
          <t>Nolter</t>
        </is>
      </c>
      <c r="B15" t="inlineStr">
        <is>
          <t>JALZERMET</t>
        </is>
      </c>
      <c r="C15" t="inlineStr">
        <is>
          <t>50/850 mg</t>
        </is>
      </c>
      <c r="D15" t="inlineStr">
        <is>
          <t>50/850 mg comp.x 60</t>
        </is>
      </c>
      <c r="E15" s="2" t="n">
        <v>118640.61</v>
      </c>
      <c r="F15" s="2" t="n">
        <v>126231.94</v>
      </c>
      <c r="G15" s="2">
        <f>IFERROR(F15/60,"")</f>
        <v/>
      </c>
      <c r="H15" s="6">
        <f>IFERROR((F15-E15)/E15,"")</f>
        <v/>
      </c>
      <c r="I15" s="6">
        <f>IFERROR((G15-G16)/G16,"")</f>
        <v/>
      </c>
      <c r="J15" s="6">
        <f>IFERROR((G15-G11)/G11,"")</f>
        <v/>
      </c>
      <c r="K15" s="3" t="n">
        <v>15215</v>
      </c>
      <c r="L15" s="6">
        <f>IFERROR(K15/SUM($K$11:$K$24),"")</f>
        <v/>
      </c>
      <c r="M15" s="8" t="n">
        <v>5</v>
      </c>
    </row>
    <row r="16">
      <c r="A16" s="9" t="inlineStr">
        <is>
          <t>Siegfried ★ SIE</t>
        </is>
      </c>
      <c r="B16" s="9" t="inlineStr">
        <is>
          <t>SILTRAN MET</t>
        </is>
      </c>
      <c r="C16" s="9" t="inlineStr">
        <is>
          <t>50/850 mg</t>
        </is>
      </c>
      <c r="D16" s="9" t="inlineStr">
        <is>
          <t>50/850 mg comp. rec.x 60</t>
        </is>
      </c>
      <c r="E16" s="10" t="n">
        <v>113993.45</v>
      </c>
      <c r="F16" s="10" t="n">
        <v>113993.45</v>
      </c>
      <c r="G16" s="10">
        <f>IFERROR(F16/60,"")</f>
        <v/>
      </c>
      <c r="H16" s="11" t="n"/>
      <c r="I16" s="11" t="n"/>
      <c r="J16" s="11">
        <f>IFERROR((G16-G11)/G11,"")</f>
        <v/>
      </c>
      <c r="K16" s="12" t="n">
        <v>13994</v>
      </c>
      <c r="L16" s="11">
        <f>IFERROR(K16/SUM($K$11:$K$24),"")</f>
        <v/>
      </c>
      <c r="M16" s="13" t="n">
        <v>6</v>
      </c>
    </row>
    <row r="17">
      <c r="A17" t="inlineStr">
        <is>
          <t>Baliarda</t>
        </is>
      </c>
      <c r="B17" t="inlineStr">
        <is>
          <t>SIAGLIX MET</t>
        </is>
      </c>
      <c r="C17" t="inlineStr">
        <is>
          <t>50/850 mg</t>
        </is>
      </c>
      <c r="D17" t="inlineStr">
        <is>
          <t>50/850 mg comp. rec.x 30</t>
        </is>
      </c>
      <c r="E17" s="2" t="n">
        <v>51507.47</v>
      </c>
      <c r="F17" s="2" t="n">
        <v>52537.62</v>
      </c>
      <c r="G17" s="2">
        <f>IFERROR(F17/30,"")</f>
        <v/>
      </c>
      <c r="H17" s="6">
        <f>IFERROR((F17-E17)/E17,"")</f>
        <v/>
      </c>
      <c r="I17" s="6">
        <f>IFERROR((G17-G16)/G16,"")</f>
        <v/>
      </c>
      <c r="J17" s="6">
        <f>IFERROR((G17-G11)/G11,"")</f>
        <v/>
      </c>
      <c r="K17" s="3" t="n">
        <v>9000</v>
      </c>
      <c r="L17" s="6">
        <f>IFERROR(K17/SUM($K$11:$K$24),"")</f>
        <v/>
      </c>
      <c r="M17" s="8" t="n">
        <v>7</v>
      </c>
    </row>
    <row r="18">
      <c r="A18" t="inlineStr">
        <is>
          <t>Roemmers</t>
        </is>
      </c>
      <c r="B18" t="inlineStr">
        <is>
          <t>AGLIPTIN MET</t>
        </is>
      </c>
      <c r="C18" t="inlineStr">
        <is>
          <t>50/850 mg</t>
        </is>
      </c>
      <c r="D18" t="inlineStr">
        <is>
          <t>50/850 mg comp.x 60</t>
        </is>
      </c>
      <c r="E18" s="2" t="n">
        <v>106457</v>
      </c>
      <c r="F18" s="2" t="n">
        <v>107202</v>
      </c>
      <c r="G18" s="2">
        <f>IFERROR(F18/60,"")</f>
        <v/>
      </c>
      <c r="H18" s="6">
        <f>IFERROR((F18-E18)/E18,"")</f>
        <v/>
      </c>
      <c r="I18" s="6">
        <f>IFERROR((G18-G16)/G16,"")</f>
        <v/>
      </c>
      <c r="J18" s="6">
        <f>IFERROR((G18-G11)/G11,"")</f>
        <v/>
      </c>
      <c r="K18" s="3" t="n">
        <v>3856</v>
      </c>
      <c r="L18" s="6">
        <f>IFERROR(K18/SUM($K$11:$K$24),"")</f>
        <v/>
      </c>
      <c r="M18" s="8" t="n">
        <v>8</v>
      </c>
    </row>
    <row r="19">
      <c r="A19" t="inlineStr">
        <is>
          <t>Roemmers</t>
        </is>
      </c>
      <c r="B19" t="inlineStr">
        <is>
          <t>AGLIPTIN MET</t>
        </is>
      </c>
      <c r="C19" t="inlineStr">
        <is>
          <t>50/850 mg</t>
        </is>
      </c>
      <c r="D19" t="inlineStr">
        <is>
          <t>50/850 mg comp.x 30</t>
        </is>
      </c>
      <c r="E19" s="2" t="n">
        <v>51543</v>
      </c>
      <c r="F19" s="2" t="n">
        <v>53038</v>
      </c>
      <c r="G19" s="2">
        <f>IFERROR(F19/30,"")</f>
        <v/>
      </c>
      <c r="H19" s="6">
        <f>IFERROR((F19-E19)/E19,"")</f>
        <v/>
      </c>
      <c r="I19" s="6">
        <f>IFERROR((G19-G16)/G16,"")</f>
        <v/>
      </c>
      <c r="J19" s="6">
        <f>IFERROR((G19-G11)/G11,"")</f>
        <v/>
      </c>
      <c r="K19" s="3" t="n">
        <v>2617</v>
      </c>
      <c r="L19" s="6">
        <f>IFERROR(K19/SUM($K$11:$K$24),"")</f>
        <v/>
      </c>
      <c r="M19" s="8" t="n">
        <v>9</v>
      </c>
    </row>
    <row r="20">
      <c r="A20" t="inlineStr">
        <is>
          <t>Elea</t>
        </is>
      </c>
      <c r="B20" t="inlineStr">
        <is>
          <t>ESLIPEL MET</t>
        </is>
      </c>
      <c r="C20" t="inlineStr">
        <is>
          <t>50/850 mg</t>
        </is>
      </c>
      <c r="D20" t="inlineStr">
        <is>
          <t>50/850 mg comp.x 60</t>
        </is>
      </c>
      <c r="E20" s="2" t="n">
        <v>124525.92</v>
      </c>
      <c r="F20" s="2" t="n">
        <v>132109.06</v>
      </c>
      <c r="G20" s="2">
        <f>IFERROR(F20/60,"")</f>
        <v/>
      </c>
      <c r="H20" s="6">
        <f>IFERROR((F20-E20)/E20,"")</f>
        <v/>
      </c>
      <c r="I20" s="6">
        <f>IFERROR((G20-G16)/G16,"")</f>
        <v/>
      </c>
      <c r="J20" s="6">
        <f>IFERROR((G20-G11)/G11,"")</f>
        <v/>
      </c>
      <c r="K20" s="3" t="n">
        <v>1053</v>
      </c>
      <c r="L20" s="6">
        <f>IFERROR(K20/SUM($K$11:$K$24),"")</f>
        <v/>
      </c>
      <c r="M20" s="8" t="n">
        <v>10</v>
      </c>
    </row>
    <row r="21">
      <c r="A21" t="inlineStr">
        <is>
          <t>Nolter</t>
        </is>
      </c>
      <c r="B21" t="inlineStr">
        <is>
          <t>JALZERMET</t>
        </is>
      </c>
      <c r="C21" t="inlineStr">
        <is>
          <t>50/850 mg</t>
        </is>
      </c>
      <c r="D21" t="inlineStr">
        <is>
          <t>50/850 mg comp.x 30</t>
        </is>
      </c>
      <c r="E21" s="2" t="n">
        <v>49657.19</v>
      </c>
      <c r="F21" s="2" t="n">
        <v>49657.19</v>
      </c>
      <c r="G21" s="2">
        <f>IFERROR(F21/30,"")</f>
        <v/>
      </c>
      <c r="H21" s="6">
        <f>IFERROR((F21-E21)/E21,"")</f>
        <v/>
      </c>
      <c r="I21" s="6">
        <f>IFERROR((G21-G16)/G16,"")</f>
        <v/>
      </c>
      <c r="J21" s="6">
        <f>IFERROR((G21-G11)/G11,"")</f>
        <v/>
      </c>
      <c r="K21" s="3" t="n">
        <v>254</v>
      </c>
      <c r="L21" s="6">
        <f>IFERROR(K21/SUM($K$11:$K$24),"")</f>
        <v/>
      </c>
      <c r="M21" s="8" t="n">
        <v>11</v>
      </c>
    </row>
    <row r="22">
      <c r="A22" t="inlineStr">
        <is>
          <t>Craveri</t>
        </is>
      </c>
      <c r="B22" t="inlineStr">
        <is>
          <t>ISLOGLIP MET</t>
        </is>
      </c>
      <c r="C22" t="inlineStr">
        <is>
          <t>50/850 mg</t>
        </is>
      </c>
      <c r="D22" t="inlineStr">
        <is>
          <t>50/850 mg comp.rec.x 60</t>
        </is>
      </c>
      <c r="E22" s="2" t="n">
        <v>114919.73</v>
      </c>
      <c r="F22" s="2" t="n">
        <v>123699.6</v>
      </c>
      <c r="G22" s="2">
        <f>IFERROR(F22/60,"")</f>
        <v/>
      </c>
      <c r="H22" s="6">
        <f>IFERROR((F22-E22)/E22,"")</f>
        <v/>
      </c>
      <c r="I22" s="6">
        <f>IFERROR((G22-G16)/G16,"")</f>
        <v/>
      </c>
      <c r="J22" s="6">
        <f>IFERROR((G22-G11)/G11,"")</f>
        <v/>
      </c>
      <c r="K22" s="3" t="n"/>
      <c r="L22" s="6">
        <f>IFERROR(K22/SUM($K$11:$K$24),"")</f>
        <v/>
      </c>
      <c r="M22" s="8" t="n">
        <v>12</v>
      </c>
    </row>
    <row r="23">
      <c r="A23" t="inlineStr">
        <is>
          <t>Laboratorios Bernabó</t>
        </is>
      </c>
      <c r="B23" t="inlineStr">
        <is>
          <t>SIGLIBER MET</t>
        </is>
      </c>
      <c r="C23" t="inlineStr">
        <is>
          <t>50/850 mg</t>
        </is>
      </c>
      <c r="D23" t="inlineStr">
        <is>
          <t>50/850 mg comp.rec.x 60</t>
        </is>
      </c>
      <c r="E23" s="2" t="n">
        <v>106914.41</v>
      </c>
      <c r="F23" s="2" t="n">
        <v>110014.93</v>
      </c>
      <c r="G23" s="2">
        <f>IFERROR(F23/60,"")</f>
        <v/>
      </c>
      <c r="H23" s="6">
        <f>IFERROR((F23-E23)/E23,"")</f>
        <v/>
      </c>
      <c r="I23" s="6">
        <f>IFERROR((G23-G16)/G16,"")</f>
        <v/>
      </c>
      <c r="J23" s="6">
        <f>IFERROR((G23-G11)/G11,"")</f>
        <v/>
      </c>
      <c r="K23" s="3" t="n"/>
      <c r="L23" s="6">
        <f>IFERROR(K23/SUM($K$11:$K$24),"")</f>
        <v/>
      </c>
      <c r="M23" s="8" t="n">
        <v>13</v>
      </c>
    </row>
    <row r="24">
      <c r="A24" t="inlineStr">
        <is>
          <t>MSD Argentina SRL</t>
        </is>
      </c>
      <c r="B24" t="inlineStr">
        <is>
          <t>JANUMET</t>
        </is>
      </c>
      <c r="C24" t="inlineStr">
        <is>
          <t>50/850 mg</t>
        </is>
      </c>
      <c r="D24" t="inlineStr">
        <is>
          <t>50/850 mg comp.x 56</t>
        </is>
      </c>
      <c r="E24" s="2" t="n">
        <v>139936.38</v>
      </c>
      <c r="F24" s="2" t="n">
        <v>147594.4</v>
      </c>
      <c r="G24" s="2">
        <f>IFERROR(F24/56,"")</f>
        <v/>
      </c>
      <c r="H24" s="6">
        <f>IFERROR((F24-E24)/E24,"")</f>
        <v/>
      </c>
      <c r="I24" s="6">
        <f>IFERROR((G24-G16)/G16,"")</f>
        <v/>
      </c>
      <c r="J24" s="6">
        <f>IFERROR((G24-G11)/G11,"")</f>
        <v/>
      </c>
      <c r="K24" s="3" t="n"/>
      <c r="L24" s="6">
        <f>IFERROR(K24/SUM($K$11:$K$24),"")</f>
        <v/>
      </c>
      <c r="M24" s="8" t="n">
        <v>14</v>
      </c>
    </row>
    <row r="26" ht="20" customHeight="1">
      <c r="A26" s="5" t="inlineStr">
        <is>
          <t>Dosis: 50/1000 mg — sitagliptina+metformina,clorh.</t>
        </is>
      </c>
    </row>
    <row r="27">
      <c r="A27" t="inlineStr">
        <is>
          <t>Gador</t>
        </is>
      </c>
      <c r="B27" t="inlineStr">
        <is>
          <t>XELEVIA MET</t>
        </is>
      </c>
      <c r="C27" t="inlineStr">
        <is>
          <t>50/1000 mg</t>
        </is>
      </c>
      <c r="D27" t="inlineStr">
        <is>
          <t>50/1000 mg comp.rec.x 56</t>
        </is>
      </c>
      <c r="E27" s="2" t="n">
        <v>139058.38</v>
      </c>
      <c r="F27" s="2" t="n">
        <v>142395.79</v>
      </c>
      <c r="G27" s="2">
        <f>IFERROR(F27/56,"")</f>
        <v/>
      </c>
      <c r="H27" s="6">
        <f>IFERROR((F27-E27)/E27,"")</f>
        <v/>
      </c>
      <c r="I27" s="6">
        <f>IFERROR((G27-G33)/G33,"")</f>
        <v/>
      </c>
      <c r="J27" s="7" t="inlineStr">
        <is>
          <t>Líder</t>
        </is>
      </c>
      <c r="K27" s="3" t="n">
        <v>84989</v>
      </c>
      <c r="L27" s="6">
        <f>IFERROR(K27/SUM($K$27:$K$46),"")</f>
        <v/>
      </c>
      <c r="M27" s="8" t="n">
        <v>1</v>
      </c>
    </row>
    <row r="28">
      <c r="A28" t="inlineStr">
        <is>
          <t>Casasco</t>
        </is>
      </c>
      <c r="B28" t="inlineStr">
        <is>
          <t>SOTIL MET</t>
        </is>
      </c>
      <c r="C28" t="inlineStr">
        <is>
          <t>50/1000 mg</t>
        </is>
      </c>
      <c r="D28" t="inlineStr">
        <is>
          <t>50/1000 mg comp.rec.x 60</t>
        </is>
      </c>
      <c r="E28" s="2" t="n">
        <v>126746.66</v>
      </c>
      <c r="F28" s="2" t="n">
        <v>126746.66</v>
      </c>
      <c r="G28" s="2">
        <f>IFERROR(F28/60,"")</f>
        <v/>
      </c>
      <c r="H28" s="6">
        <f>IFERROR((F28-E28)/E28,"")</f>
        <v/>
      </c>
      <c r="I28" s="6">
        <f>IFERROR((G28-G33)/G33,"")</f>
        <v/>
      </c>
      <c r="J28" s="6">
        <f>IFERROR((G28-G27)/G27,"")</f>
        <v/>
      </c>
      <c r="K28" s="3" t="n">
        <v>46955</v>
      </c>
      <c r="L28" s="6">
        <f>IFERROR(K28/SUM($K$27:$K$46),"")</f>
        <v/>
      </c>
      <c r="M28" s="8" t="n">
        <v>2</v>
      </c>
    </row>
    <row r="29">
      <c r="A29" t="inlineStr">
        <is>
          <t>Baliarda</t>
        </is>
      </c>
      <c r="B29" t="inlineStr">
        <is>
          <t>SIAGLIX MET</t>
        </is>
      </c>
      <c r="C29" t="inlineStr">
        <is>
          <t>50/1000 mg</t>
        </is>
      </c>
      <c r="D29" t="inlineStr">
        <is>
          <t>50/1000 mg comp.rec.x 60</t>
        </is>
      </c>
      <c r="E29" s="2" t="n">
        <v>122087.51</v>
      </c>
      <c r="F29" s="2" t="n">
        <v>122697.95</v>
      </c>
      <c r="G29" s="2">
        <f>IFERROR(F29/60,"")</f>
        <v/>
      </c>
      <c r="H29" s="6">
        <f>IFERROR((F29-E29)/E29,"")</f>
        <v/>
      </c>
      <c r="I29" s="6">
        <f>IFERROR((G29-G33)/G33,"")</f>
        <v/>
      </c>
      <c r="J29" s="6">
        <f>IFERROR((G29-G27)/G27,"")</f>
        <v/>
      </c>
      <c r="K29" s="3" t="n">
        <v>24714</v>
      </c>
      <c r="L29" s="6">
        <f>IFERROR(K29/SUM($K$27:$K$46),"")</f>
        <v/>
      </c>
      <c r="M29" s="8" t="n">
        <v>3</v>
      </c>
    </row>
    <row r="30">
      <c r="A30" t="inlineStr">
        <is>
          <t>Casasco</t>
        </is>
      </c>
      <c r="B30" t="inlineStr">
        <is>
          <t>SOTIL MET XR</t>
        </is>
      </c>
      <c r="C30" t="inlineStr">
        <is>
          <t>50/1000 mg</t>
        </is>
      </c>
      <c r="D30" t="inlineStr">
        <is>
          <t>50/1000 mg comp.x 60</t>
        </is>
      </c>
      <c r="E30" s="2" t="n">
        <v>118263.13</v>
      </c>
      <c r="F30" s="2" t="n">
        <v>118263.13</v>
      </c>
      <c r="G30" s="2">
        <f>IFERROR(F30/60,"")</f>
        <v/>
      </c>
      <c r="H30" s="6">
        <f>IFERROR((F30-E30)/E30,"")</f>
        <v/>
      </c>
      <c r="I30" s="6">
        <f>IFERROR((G30-G33)/G33,"")</f>
        <v/>
      </c>
      <c r="J30" s="6">
        <f>IFERROR((G30-G27)/G27,"")</f>
        <v/>
      </c>
      <c r="K30" s="3" t="n">
        <v>23877</v>
      </c>
      <c r="L30" s="6">
        <f>IFERROR(K30/SUM($K$27:$K$46),"")</f>
        <v/>
      </c>
      <c r="M30" s="8" t="n">
        <v>4</v>
      </c>
    </row>
    <row r="31">
      <c r="A31" t="inlineStr">
        <is>
          <t>Gador</t>
        </is>
      </c>
      <c r="B31" t="inlineStr">
        <is>
          <t>XELEVIA MET</t>
        </is>
      </c>
      <c r="C31" t="inlineStr">
        <is>
          <t>50/1000 mg</t>
        </is>
      </c>
      <c r="D31" t="inlineStr">
        <is>
          <t>50/1000 mg comp.rec.x 28</t>
        </is>
      </c>
      <c r="E31" s="2" t="n">
        <v>73829.39</v>
      </c>
      <c r="F31" s="2" t="n">
        <v>75601.29000000001</v>
      </c>
      <c r="G31" s="2">
        <f>IFERROR(F31/28,"")</f>
        <v/>
      </c>
      <c r="H31" s="6">
        <f>IFERROR((F31-E31)/E31,"")</f>
        <v/>
      </c>
      <c r="I31" s="6">
        <f>IFERROR((G31-G33)/G33,"")</f>
        <v/>
      </c>
      <c r="J31" s="6">
        <f>IFERROR((G31-G27)/G27,"")</f>
        <v/>
      </c>
      <c r="K31" s="3" t="n">
        <v>16972</v>
      </c>
      <c r="L31" s="6">
        <f>IFERROR(K31/SUM($K$27:$K$46),"")</f>
        <v/>
      </c>
      <c r="M31" s="8" t="n">
        <v>5</v>
      </c>
    </row>
    <row r="32">
      <c r="A32" t="inlineStr">
        <is>
          <t>Nolter</t>
        </is>
      </c>
      <c r="B32" t="inlineStr">
        <is>
          <t>JALZERMET</t>
        </is>
      </c>
      <c r="C32" t="inlineStr">
        <is>
          <t>50/1000 mg</t>
        </is>
      </c>
      <c r="D32" t="inlineStr">
        <is>
          <t>50/1000 mg comp.x 60</t>
        </is>
      </c>
      <c r="E32" s="2" t="n">
        <v>133208.66</v>
      </c>
      <c r="F32" s="2" t="n">
        <v>141732.15</v>
      </c>
      <c r="G32" s="2">
        <f>IFERROR(F32/60,"")</f>
        <v/>
      </c>
      <c r="H32" s="6">
        <f>IFERROR((F32-E32)/E32,"")</f>
        <v/>
      </c>
      <c r="I32" s="6">
        <f>IFERROR((G32-G33)/G33,"")</f>
        <v/>
      </c>
      <c r="J32" s="6">
        <f>IFERROR((G32-G27)/G27,"")</f>
        <v/>
      </c>
      <c r="K32" s="3" t="n">
        <v>12587</v>
      </c>
      <c r="L32" s="6">
        <f>IFERROR(K32/SUM($K$27:$K$46),"")</f>
        <v/>
      </c>
      <c r="M32" s="8" t="n">
        <v>6</v>
      </c>
    </row>
    <row r="33">
      <c r="A33" s="9" t="inlineStr">
        <is>
          <t>Siegfried ★ SIE</t>
        </is>
      </c>
      <c r="B33" s="9" t="inlineStr">
        <is>
          <t>SILTRAN MET</t>
        </is>
      </c>
      <c r="C33" s="9" t="inlineStr">
        <is>
          <t>50/1000 mg</t>
        </is>
      </c>
      <c r="D33" s="9" t="inlineStr">
        <is>
          <t>50/1000 mg comp.rec.x 60</t>
        </is>
      </c>
      <c r="E33" s="10" t="n">
        <v>132252.14</v>
      </c>
      <c r="F33" s="10" t="n">
        <v>132252.14</v>
      </c>
      <c r="G33" s="10">
        <f>IFERROR(F33/60,"")</f>
        <v/>
      </c>
      <c r="H33" s="11" t="n"/>
      <c r="I33" s="11" t="n"/>
      <c r="J33" s="11">
        <f>IFERROR((G33-G27)/G27,"")</f>
        <v/>
      </c>
      <c r="K33" s="12" t="n">
        <v>10942</v>
      </c>
      <c r="L33" s="11">
        <f>IFERROR(K33/SUM($K$27:$K$46),"")</f>
        <v/>
      </c>
      <c r="M33" s="13" t="n">
        <v>7</v>
      </c>
    </row>
    <row r="34">
      <c r="A34" t="inlineStr">
        <is>
          <t>Casasco</t>
        </is>
      </c>
      <c r="B34" t="inlineStr">
        <is>
          <t>SOTIL MET</t>
        </is>
      </c>
      <c r="C34" t="inlineStr">
        <is>
          <t>50/1000 mg</t>
        </is>
      </c>
      <c r="D34" t="inlineStr">
        <is>
          <t>50/1000 mg comp.rec.x 30</t>
        </is>
      </c>
      <c r="E34" s="2" t="n">
        <v>66630.91</v>
      </c>
      <c r="F34" s="2" t="n">
        <v>66630.91</v>
      </c>
      <c r="G34" s="2">
        <f>IFERROR(F34/30,"")</f>
        <v/>
      </c>
      <c r="H34" s="6">
        <f>IFERROR((F34-E34)/E34,"")</f>
        <v/>
      </c>
      <c r="I34" s="6">
        <f>IFERROR((G34-G33)/G33,"")</f>
        <v/>
      </c>
      <c r="J34" s="6">
        <f>IFERROR((G34-G27)/G27,"")</f>
        <v/>
      </c>
      <c r="K34" s="3" t="n">
        <v>10038</v>
      </c>
      <c r="L34" s="6">
        <f>IFERROR(K34/SUM($K$27:$K$46),"")</f>
        <v/>
      </c>
      <c r="M34" s="8" t="n">
        <v>8</v>
      </c>
    </row>
    <row r="35">
      <c r="A35" t="inlineStr">
        <is>
          <t>Baliarda</t>
        </is>
      </c>
      <c r="B35" t="inlineStr">
        <is>
          <t>SIAGLIX MET</t>
        </is>
      </c>
      <c r="C35" t="inlineStr">
        <is>
          <t>50/1000 mg</t>
        </is>
      </c>
      <c r="D35" t="inlineStr">
        <is>
          <t>50/1000 mg comp.rec.x 30</t>
        </is>
      </c>
      <c r="E35" s="2" t="n">
        <v>62595.85</v>
      </c>
      <c r="F35" s="2" t="n">
        <v>62908.83</v>
      </c>
      <c r="G35" s="2">
        <f>IFERROR(F35/30,"")</f>
        <v/>
      </c>
      <c r="H35" s="6">
        <f>IFERROR((F35-E35)/E35,"")</f>
        <v/>
      </c>
      <c r="I35" s="6">
        <f>IFERROR((G35-G33)/G33,"")</f>
        <v/>
      </c>
      <c r="J35" s="6">
        <f>IFERROR((G35-G27)/G27,"")</f>
        <v/>
      </c>
      <c r="K35" s="3" t="n">
        <v>6342</v>
      </c>
      <c r="L35" s="6">
        <f>IFERROR(K35/SUM($K$27:$K$46),"")</f>
        <v/>
      </c>
      <c r="M35" s="8" t="n">
        <v>9</v>
      </c>
    </row>
    <row r="36">
      <c r="A36" t="inlineStr">
        <is>
          <t>Roemmers</t>
        </is>
      </c>
      <c r="B36" t="inlineStr">
        <is>
          <t>AGLIPTIN MET</t>
        </is>
      </c>
      <c r="C36" t="inlineStr">
        <is>
          <t>50/1000 mg</t>
        </is>
      </c>
      <c r="D36" t="inlineStr">
        <is>
          <t>50/1000 mg comp.x 60</t>
        </is>
      </c>
      <c r="E36" s="2" t="n">
        <v>122204</v>
      </c>
      <c r="F36" s="2" t="n">
        <v>123059</v>
      </c>
      <c r="G36" s="2">
        <f>IFERROR(F36/60,"")</f>
        <v/>
      </c>
      <c r="H36" s="6">
        <f>IFERROR((F36-E36)/E36,"")</f>
        <v/>
      </c>
      <c r="I36" s="6">
        <f>IFERROR((G36-G33)/G33,"")</f>
        <v/>
      </c>
      <c r="J36" s="6">
        <f>IFERROR((G36-G27)/G27,"")</f>
        <v/>
      </c>
      <c r="K36" s="3" t="n">
        <v>4871</v>
      </c>
      <c r="L36" s="6">
        <f>IFERROR(K36/SUM($K$27:$K$46),"")</f>
        <v/>
      </c>
      <c r="M36" s="8" t="n">
        <v>10</v>
      </c>
    </row>
    <row r="37">
      <c r="A37" t="inlineStr">
        <is>
          <t>Elea</t>
        </is>
      </c>
      <c r="B37" t="inlineStr">
        <is>
          <t>ESLIPEL MET</t>
        </is>
      </c>
      <c r="C37" t="inlineStr">
        <is>
          <t>50/1000 mg</t>
        </is>
      </c>
      <c r="D37" t="inlineStr">
        <is>
          <t>50/1000 mg comp.x 60</t>
        </is>
      </c>
      <c r="E37" s="2" t="n">
        <v>138998</v>
      </c>
      <c r="F37" s="2" t="n">
        <v>147462.43</v>
      </c>
      <c r="G37" s="2">
        <f>IFERROR(F37/60,"")</f>
        <v/>
      </c>
      <c r="H37" s="6">
        <f>IFERROR((F37-E37)/E37,"")</f>
        <v/>
      </c>
      <c r="I37" s="6">
        <f>IFERROR((G37-G33)/G33,"")</f>
        <v/>
      </c>
      <c r="J37" s="6">
        <f>IFERROR((G37-G27)/G27,"")</f>
        <v/>
      </c>
      <c r="K37" s="3" t="n">
        <v>1861</v>
      </c>
      <c r="L37" s="6">
        <f>IFERROR(K37/SUM($K$27:$K$46),"")</f>
        <v/>
      </c>
      <c r="M37" s="8" t="n">
        <v>11</v>
      </c>
    </row>
    <row r="38">
      <c r="A38" t="inlineStr">
        <is>
          <t>Roemmers</t>
        </is>
      </c>
      <c r="B38" t="inlineStr">
        <is>
          <t>AGLIPTIN MET</t>
        </is>
      </c>
      <c r="C38" t="inlineStr">
        <is>
          <t>50/1000 mg</t>
        </is>
      </c>
      <c r="D38" t="inlineStr">
        <is>
          <t>50/1000 mg comp.x 30</t>
        </is>
      </c>
      <c r="E38" s="2" t="n">
        <v>62775</v>
      </c>
      <c r="F38" s="2" t="n">
        <v>63214</v>
      </c>
      <c r="G38" s="2">
        <f>IFERROR(F38/30,"")</f>
        <v/>
      </c>
      <c r="H38" s="6">
        <f>IFERROR((F38-E38)/E38,"")</f>
        <v/>
      </c>
      <c r="I38" s="6">
        <f>IFERROR((G38-G33)/G33,"")</f>
        <v/>
      </c>
      <c r="J38" s="6">
        <f>IFERROR((G38-G27)/G27,"")</f>
        <v/>
      </c>
      <c r="K38" s="3" t="n">
        <v>1297</v>
      </c>
      <c r="L38" s="6">
        <f>IFERROR(K38/SUM($K$27:$K$46),"")</f>
        <v/>
      </c>
      <c r="M38" s="8" t="n">
        <v>12</v>
      </c>
    </row>
    <row r="39">
      <c r="A39" t="inlineStr">
        <is>
          <t>Elea</t>
        </is>
      </c>
      <c r="B39" t="inlineStr">
        <is>
          <t>ESLIPEL MET</t>
        </is>
      </c>
      <c r="C39" t="inlineStr">
        <is>
          <t>50/1000 mg</t>
        </is>
      </c>
      <c r="D39" t="inlineStr">
        <is>
          <t>50/1000 mg comp.x 30</t>
        </is>
      </c>
      <c r="E39" s="2" t="n">
        <v>72690.89</v>
      </c>
      <c r="F39" s="2" t="n">
        <v>77117.48</v>
      </c>
      <c r="G39" s="2">
        <f>IFERROR(F39/30,"")</f>
        <v/>
      </c>
      <c r="H39" s="6">
        <f>IFERROR((F39-E39)/E39,"")</f>
        <v/>
      </c>
      <c r="I39" s="6">
        <f>IFERROR((G39-G33)/G33,"")</f>
        <v/>
      </c>
      <c r="J39" s="6">
        <f>IFERROR((G39-G27)/G27,"")</f>
        <v/>
      </c>
      <c r="K39" s="3" t="n">
        <v>855</v>
      </c>
      <c r="L39" s="6">
        <f>IFERROR(K39/SUM($K$27:$K$46),"")</f>
        <v/>
      </c>
      <c r="M39" s="8" t="n">
        <v>13</v>
      </c>
    </row>
    <row r="40">
      <c r="A40" t="inlineStr">
        <is>
          <t>Nolter</t>
        </is>
      </c>
      <c r="B40" t="inlineStr">
        <is>
          <t>JALZERMET</t>
        </is>
      </c>
      <c r="C40" t="inlineStr">
        <is>
          <t>50/1000 mg</t>
        </is>
      </c>
      <c r="D40" t="inlineStr">
        <is>
          <t>50/1000 mg comp.x 30</t>
        </is>
      </c>
      <c r="E40" s="2" t="n">
        <v>55754.69</v>
      </c>
      <c r="F40" s="2" t="n">
        <v>55754.69</v>
      </c>
      <c r="G40" s="2">
        <f>IFERROR(F40/30,"")</f>
        <v/>
      </c>
      <c r="H40" s="6">
        <f>IFERROR((F40-E40)/E40,"")</f>
        <v/>
      </c>
      <c r="I40" s="6">
        <f>IFERROR((G40-G33)/G33,"")</f>
        <v/>
      </c>
      <c r="J40" s="6">
        <f>IFERROR((G40-G27)/G27,"")</f>
        <v/>
      </c>
      <c r="K40" s="3" t="n">
        <v>696</v>
      </c>
      <c r="L40" s="6">
        <f>IFERROR(K40/SUM($K$27:$K$46),"")</f>
        <v/>
      </c>
      <c r="M40" s="8" t="n">
        <v>14</v>
      </c>
    </row>
    <row r="41">
      <c r="A41" t="inlineStr">
        <is>
          <t>Craveri</t>
        </is>
      </c>
      <c r="B41" t="inlineStr">
        <is>
          <t>ISLOGLIP MET</t>
        </is>
      </c>
      <c r="C41" t="inlineStr">
        <is>
          <t>50/1000 mg</t>
        </is>
      </c>
      <c r="D41" t="inlineStr">
        <is>
          <t>50/1000 mg comp.rec.x 60</t>
        </is>
      </c>
      <c r="E41" s="2" t="n">
        <v>128903.01</v>
      </c>
      <c r="F41" s="2" t="n">
        <v>138751.2</v>
      </c>
      <c r="G41" s="2">
        <f>IFERROR(F41/60,"")</f>
        <v/>
      </c>
      <c r="H41" s="6">
        <f>IFERROR((F41-E41)/E41,"")</f>
        <v/>
      </c>
      <c r="I41" s="6">
        <f>IFERROR((G41-G33)/G33,"")</f>
        <v/>
      </c>
      <c r="J41" s="6">
        <f>IFERROR((G41-G27)/G27,"")</f>
        <v/>
      </c>
      <c r="K41" s="3" t="n"/>
      <c r="L41" s="6">
        <f>IFERROR(K41/SUM($K$27:$K$46),"")</f>
        <v/>
      </c>
      <c r="M41" s="8" t="n">
        <v>15</v>
      </c>
    </row>
    <row r="42">
      <c r="A42" t="inlineStr">
        <is>
          <t>Gador</t>
        </is>
      </c>
      <c r="B42" t="inlineStr">
        <is>
          <t>XELEVIA MET XR</t>
        </is>
      </c>
      <c r="C42" t="inlineStr">
        <is>
          <t>50/1000 mg</t>
        </is>
      </c>
      <c r="D42" t="inlineStr">
        <is>
          <t>50/1000 mg comp.AP x 56</t>
        </is>
      </c>
      <c r="E42" s="2" t="n">
        <v>142721.17</v>
      </c>
      <c r="F42" s="2" t="n">
        <v>146146.47</v>
      </c>
      <c r="G42" s="2">
        <f>IFERROR(F42/56,"")</f>
        <v/>
      </c>
      <c r="H42" s="6">
        <f>IFERROR((F42-E42)/E42,"")</f>
        <v/>
      </c>
      <c r="I42" s="6">
        <f>IFERROR((G42-G33)/G33,"")</f>
        <v/>
      </c>
      <c r="J42" s="6">
        <f>IFERROR((G42-G27)/G27,"")</f>
        <v/>
      </c>
      <c r="K42" s="3" t="n"/>
      <c r="L42" s="6">
        <f>IFERROR(K42/SUM($K$27:$K$46),"")</f>
        <v/>
      </c>
      <c r="M42" s="8" t="n">
        <v>16</v>
      </c>
    </row>
    <row r="43">
      <c r="A43" t="inlineStr">
        <is>
          <t>Laboratorios Bernabó</t>
        </is>
      </c>
      <c r="B43" t="inlineStr">
        <is>
          <t>SIGLIBER MET</t>
        </is>
      </c>
      <c r="C43" t="inlineStr">
        <is>
          <t>50/1000 mg</t>
        </is>
      </c>
      <c r="D43" t="inlineStr">
        <is>
          <t>50/1000 mg comp.rec.x 60</t>
        </is>
      </c>
      <c r="E43" s="2" t="n">
        <v>122284.08</v>
      </c>
      <c r="F43" s="2" t="n">
        <v>125830.32</v>
      </c>
      <c r="G43" s="2">
        <f>IFERROR(F43/60,"")</f>
        <v/>
      </c>
      <c r="H43" s="6">
        <f>IFERROR((F43-E43)/E43,"")</f>
        <v/>
      </c>
      <c r="I43" s="6">
        <f>IFERROR((G43-G33)/G33,"")</f>
        <v/>
      </c>
      <c r="J43" s="6">
        <f>IFERROR((G43-G27)/G27,"")</f>
        <v/>
      </c>
      <c r="K43" s="3" t="n"/>
      <c r="L43" s="6">
        <f>IFERROR(K43/SUM($K$27:$K$46),"")</f>
        <v/>
      </c>
      <c r="M43" s="8" t="n">
        <v>17</v>
      </c>
    </row>
    <row r="44">
      <c r="A44" t="inlineStr">
        <is>
          <t>MSD Argentina SRL</t>
        </is>
      </c>
      <c r="B44" t="inlineStr">
        <is>
          <t>JANUMET</t>
        </is>
      </c>
      <c r="C44" t="inlineStr">
        <is>
          <t>50/1000 mg</t>
        </is>
      </c>
      <c r="D44" t="inlineStr">
        <is>
          <t>50/1000 mg comp.x 28</t>
        </is>
      </c>
      <c r="E44" s="2" t="n">
        <v>82544.59</v>
      </c>
      <c r="F44" s="2" t="n">
        <v>87061.83</v>
      </c>
      <c r="G44" s="2">
        <f>IFERROR(F44/28,"")</f>
        <v/>
      </c>
      <c r="H44" s="6">
        <f>IFERROR((F44-E44)/E44,"")</f>
        <v/>
      </c>
      <c r="I44" s="6">
        <f>IFERROR((G44-G33)/G33,"")</f>
        <v/>
      </c>
      <c r="J44" s="6">
        <f>IFERROR((G44-G27)/G27,"")</f>
        <v/>
      </c>
      <c r="K44" s="3" t="n"/>
      <c r="L44" s="6">
        <f>IFERROR(K44/SUM($K$27:$K$46),"")</f>
        <v/>
      </c>
      <c r="M44" s="8" t="n">
        <v>18</v>
      </c>
    </row>
    <row r="45">
      <c r="A45" t="inlineStr">
        <is>
          <t>MSD Argentina SRL</t>
        </is>
      </c>
      <c r="B45" t="inlineStr">
        <is>
          <t>JANUMET</t>
        </is>
      </c>
      <c r="C45" t="inlineStr">
        <is>
          <t>50/1000 mg</t>
        </is>
      </c>
      <c r="D45" t="inlineStr">
        <is>
          <t>50/1000 mg comp.x 56</t>
        </is>
      </c>
      <c r="E45" s="2" t="n">
        <v>157119.39</v>
      </c>
      <c r="F45" s="2" t="n">
        <v>165717.74</v>
      </c>
      <c r="G45" s="2">
        <f>IFERROR(F45/56,"")</f>
        <v/>
      </c>
      <c r="H45" s="6">
        <f>IFERROR((F45-E45)/E45,"")</f>
        <v/>
      </c>
      <c r="I45" s="6">
        <f>IFERROR((G45-G33)/G33,"")</f>
        <v/>
      </c>
      <c r="J45" s="6">
        <f>IFERROR((G45-G27)/G27,"")</f>
        <v/>
      </c>
      <c r="K45" s="3" t="n"/>
      <c r="L45" s="6">
        <f>IFERROR(K45/SUM($K$27:$K$46),"")</f>
        <v/>
      </c>
      <c r="M45" s="8" t="n">
        <v>19</v>
      </c>
    </row>
    <row r="46">
      <c r="A46" t="inlineStr">
        <is>
          <t>MSD Argentina SRL</t>
        </is>
      </c>
      <c r="B46" t="inlineStr">
        <is>
          <t>JANUMET XR</t>
        </is>
      </c>
      <c r="C46" t="inlineStr">
        <is>
          <t>50/1000 mg</t>
        </is>
      </c>
      <c r="D46" t="inlineStr">
        <is>
          <t>50/1000 mg comp.AP x 56</t>
        </is>
      </c>
      <c r="E46" s="2" t="n">
        <v>160955.97</v>
      </c>
      <c r="F46" s="2" t="n">
        <v>169764.28</v>
      </c>
      <c r="G46" s="2">
        <f>IFERROR(F46/56,"")</f>
        <v/>
      </c>
      <c r="H46" s="6">
        <f>IFERROR((F46-E46)/E46,"")</f>
        <v/>
      </c>
      <c r="I46" s="6">
        <f>IFERROR((G46-G33)/G33,"")</f>
        <v/>
      </c>
      <c r="J46" s="6">
        <f>IFERROR((G46-G27)/G27,"")</f>
        <v/>
      </c>
      <c r="K46" s="3" t="n"/>
      <c r="L46" s="6">
        <f>IFERROR(K46/SUM($K$27:$K$46),"")</f>
        <v/>
      </c>
      <c r="M46" s="8" t="n">
        <v>20</v>
      </c>
    </row>
  </sheetData>
  <mergeCells count="3">
    <mergeCell ref="A26:M26"/>
    <mergeCell ref="A2:M2"/>
    <mergeCell ref="A10:M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" customWidth="1" min="1" max="1"/>
    <col width="20.83" customWidth="1" min="2" max="2"/>
    <col width="12" customWidth="1" min="3" max="3"/>
    <col width="28.83" customWidth="1" min="4" max="4"/>
    <col width="14.83" customWidth="1" min="5" max="5"/>
    <col width="14.83" customWidth="1" min="6" max="6"/>
    <col width="12.83" customWidth="1" min="7" max="7"/>
    <col width="8.83" customWidth="1" min="8" max="8"/>
    <col width="10.83" customWidth="1" min="9" max="9"/>
    <col width="10.83" customWidth="1" min="10" max="10"/>
    <col width="12.83" customWidth="1" min="11" max="11"/>
    <col width="8.83" customWidth="1" min="12" max="12"/>
    <col width="6.83" customWidth="1" min="13" max="13"/>
  </cols>
  <sheetData>
    <row r="1">
      <c r="A1" s="4" t="inlineStr">
        <is>
          <t>Laboratorio</t>
        </is>
      </c>
      <c r="B1" s="4" t="inlineStr">
        <is>
          <t>Producto</t>
        </is>
      </c>
      <c r="C1" s="4" t="inlineStr">
        <is>
          <t>Dosis</t>
        </is>
      </c>
      <c r="D1" s="4" t="inlineStr">
        <is>
          <t>Presentación</t>
        </is>
      </c>
      <c r="E1" s="4" t="inlineStr">
        <is>
          <t>PVP Feb 2026</t>
        </is>
      </c>
      <c r="F1" s="4" t="inlineStr">
        <is>
          <t>PVP Abr 2026</t>
        </is>
      </c>
      <c r="G1" s="4" t="inlineStr">
        <is>
          <t>PVP/Unidad</t>
        </is>
      </c>
      <c r="H1" s="4" t="inlineStr">
        <is>
          <t>Var %</t>
        </is>
      </c>
      <c r="I1" s="4" t="inlineStr">
        <is>
          <t>VS SIE</t>
        </is>
      </c>
      <c r="J1" s="4" t="inlineStr">
        <is>
          <t>VS Líder</t>
        </is>
      </c>
      <c r="K1" s="4" t="inlineStr">
        <is>
          <t>IQVIA MAT U.</t>
        </is>
      </c>
      <c r="L1" s="4" t="inlineStr">
        <is>
          <t>Share %</t>
        </is>
      </c>
      <c r="M1" s="4" t="inlineStr">
        <is>
          <t>Ranking</t>
        </is>
      </c>
    </row>
    <row r="2" ht="20" customHeight="1">
      <c r="A2" s="5" t="inlineStr">
        <is>
          <t>Dosis: 1 mg — acenocumarol</t>
        </is>
      </c>
    </row>
    <row r="3">
      <c r="A3" s="9" t="inlineStr">
        <is>
          <t>Siegfried ★ SIE</t>
        </is>
      </c>
      <c r="B3" s="9" t="inlineStr">
        <is>
          <t>SINTROM</t>
        </is>
      </c>
      <c r="C3" s="9" t="inlineStr">
        <is>
          <t>1 mg</t>
        </is>
      </c>
      <c r="D3" s="9" t="inlineStr">
        <is>
          <t>1 mg comp.x 20</t>
        </is>
      </c>
      <c r="E3" s="10" t="n">
        <v>11960.99</v>
      </c>
      <c r="F3" s="10" t="n">
        <v>12283.94</v>
      </c>
      <c r="G3" s="10">
        <f>IFERROR(F3/20,"")</f>
        <v/>
      </c>
      <c r="H3" s="11" t="n"/>
      <c r="I3" s="11" t="n"/>
      <c r="J3" s="7" t="inlineStr">
        <is>
          <t>Líder</t>
        </is>
      </c>
      <c r="K3" s="12" t="n">
        <v>66178</v>
      </c>
      <c r="L3" s="11">
        <f>IFERROR(K3/SUM($K$3:$K$3),"")</f>
        <v/>
      </c>
      <c r="M3" s="13" t="n">
        <v>1</v>
      </c>
    </row>
    <row r="5" ht="20" customHeight="1">
      <c r="A5" s="5" t="inlineStr">
        <is>
          <t>Dosis: 4 mg — acenocumarol</t>
        </is>
      </c>
    </row>
    <row r="6">
      <c r="A6" s="9" t="inlineStr">
        <is>
          <t>Siegfried ★ SIE</t>
        </is>
      </c>
      <c r="B6" s="9" t="inlineStr">
        <is>
          <t>SINTROM</t>
        </is>
      </c>
      <c r="C6" s="9" t="inlineStr">
        <is>
          <t>4 mg</t>
        </is>
      </c>
      <c r="D6" s="9" t="inlineStr">
        <is>
          <t>4 mg comp.x 20</t>
        </is>
      </c>
      <c r="E6" s="10" t="n">
        <v>36634.34</v>
      </c>
      <c r="F6" s="10" t="n">
        <v>37623.46</v>
      </c>
      <c r="G6" s="10">
        <f>IFERROR(F6/20,"")</f>
        <v/>
      </c>
      <c r="H6" s="11" t="n"/>
      <c r="I6" s="11" t="n"/>
      <c r="J6" s="7" t="inlineStr">
        <is>
          <t>Líder</t>
        </is>
      </c>
      <c r="K6" s="12" t="n">
        <v>684336</v>
      </c>
      <c r="L6" s="11">
        <f>IFERROR(K6/SUM($K$6:$K$9),"")</f>
        <v/>
      </c>
      <c r="M6" s="13" t="n">
        <v>1</v>
      </c>
    </row>
    <row r="7">
      <c r="A7" t="inlineStr">
        <is>
          <t>Bagó</t>
        </is>
      </c>
      <c r="B7" t="inlineStr">
        <is>
          <t>AZECAR</t>
        </is>
      </c>
      <c r="C7" t="inlineStr">
        <is>
          <t>4 mg</t>
        </is>
      </c>
      <c r="D7" t="inlineStr">
        <is>
          <t>4 mg comp.x 30</t>
        </is>
      </c>
      <c r="E7" s="2" t="n">
        <v>50924.1</v>
      </c>
      <c r="F7" s="2" t="n">
        <v>52227.75</v>
      </c>
      <c r="G7" s="2">
        <f>IFERROR(F7/30,"")</f>
        <v/>
      </c>
      <c r="H7" s="6">
        <f>IFERROR((F7-E7)/E7,"")</f>
        <v/>
      </c>
      <c r="I7" s="6">
        <f>IFERROR((G7-G6)/G6,"")</f>
        <v/>
      </c>
      <c r="J7" s="6">
        <f>IFERROR((G7-G6)/G6,"")</f>
        <v/>
      </c>
      <c r="K7" s="3" t="n">
        <v>187722</v>
      </c>
      <c r="L7" s="6">
        <f>IFERROR(K7/SUM($K$6:$K$9),"")</f>
        <v/>
      </c>
      <c r="M7" s="8" t="n">
        <v>2</v>
      </c>
    </row>
    <row r="8">
      <c r="A8" t="inlineStr">
        <is>
          <t>Microsules Arg.</t>
        </is>
      </c>
      <c r="B8" t="inlineStr">
        <is>
          <t>FORTONOL</t>
        </is>
      </c>
      <c r="C8" t="inlineStr">
        <is>
          <t>4 mg</t>
        </is>
      </c>
      <c r="D8" t="inlineStr">
        <is>
          <t>4 mg comp.x 20</t>
        </is>
      </c>
      <c r="E8" s="2" t="n">
        <v>32914.55</v>
      </c>
      <c r="F8" s="2" t="n">
        <v>33836.16</v>
      </c>
      <c r="G8" s="2">
        <f>IFERROR(F8/20,"")</f>
        <v/>
      </c>
      <c r="H8" s="6">
        <f>IFERROR((F8-E8)/E8,"")</f>
        <v/>
      </c>
      <c r="I8" s="6">
        <f>IFERROR((G8-G6)/G6,"")</f>
        <v/>
      </c>
      <c r="J8" s="6">
        <f>IFERROR((G8-G6)/G6,"")</f>
        <v/>
      </c>
      <c r="K8" s="3" t="n">
        <v>1526</v>
      </c>
      <c r="L8" s="6">
        <f>IFERROR(K8/SUM($K$6:$K$9),"")</f>
        <v/>
      </c>
      <c r="M8" s="8" t="n">
        <v>3</v>
      </c>
    </row>
    <row r="9">
      <c r="A9" t="inlineStr">
        <is>
          <t>Rospaw</t>
        </is>
      </c>
      <c r="B9" t="inlineStr">
        <is>
          <t>ACENOCOUMAROL ROSPAW</t>
        </is>
      </c>
      <c r="C9" t="inlineStr">
        <is>
          <t>4 mg</t>
        </is>
      </c>
      <c r="D9" t="inlineStr">
        <is>
          <t>4 mg comp.x 20</t>
        </is>
      </c>
      <c r="E9" s="2" t="n">
        <v>27756.35</v>
      </c>
      <c r="F9" s="2" t="n">
        <v>28866.6</v>
      </c>
      <c r="G9" s="2">
        <f>IFERROR(F9/20,"")</f>
        <v/>
      </c>
      <c r="H9" s="6">
        <f>IFERROR((F9-E9)/E9,"")</f>
        <v/>
      </c>
      <c r="I9" s="6">
        <f>IFERROR((G9-G6)/G6,"")</f>
        <v/>
      </c>
      <c r="J9" s="6">
        <f>IFERROR((G9-G6)/G6,"")</f>
        <v/>
      </c>
      <c r="K9" s="3" t="n"/>
      <c r="L9" s="6">
        <f>IFERROR(K9/SUM($K$6:$K$9),"")</f>
        <v/>
      </c>
      <c r="M9" s="8" t="n">
        <v>4</v>
      </c>
    </row>
  </sheetData>
  <mergeCells count="2">
    <mergeCell ref="A2:M2"/>
    <mergeCell ref="A5:M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" customWidth="1" min="1" max="1"/>
    <col width="20.83" customWidth="1" min="2" max="2"/>
    <col width="12" customWidth="1" min="3" max="3"/>
    <col width="28.83" customWidth="1" min="4" max="4"/>
    <col width="14.83" customWidth="1" min="5" max="5"/>
    <col width="14.83" customWidth="1" min="6" max="6"/>
    <col width="12.83" customWidth="1" min="7" max="7"/>
    <col width="8.83" customWidth="1" min="8" max="8"/>
    <col width="10.83" customWidth="1" min="9" max="9"/>
    <col width="10.83" customWidth="1" min="10" max="10"/>
    <col width="12.83" customWidth="1" min="11" max="11"/>
    <col width="8.83" customWidth="1" min="12" max="12"/>
    <col width="6.83" customWidth="1" min="13" max="13"/>
  </cols>
  <sheetData>
    <row r="1">
      <c r="A1" s="4" t="inlineStr">
        <is>
          <t>Laboratorio</t>
        </is>
      </c>
      <c r="B1" s="4" t="inlineStr">
        <is>
          <t>Producto</t>
        </is>
      </c>
      <c r="C1" s="4" t="inlineStr">
        <is>
          <t>Dosis</t>
        </is>
      </c>
      <c r="D1" s="4" t="inlineStr">
        <is>
          <t>Presentación</t>
        </is>
      </c>
      <c r="E1" s="4" t="inlineStr">
        <is>
          <t>PVP Feb 2026</t>
        </is>
      </c>
      <c r="F1" s="4" t="inlineStr">
        <is>
          <t>PVP Abr 2026</t>
        </is>
      </c>
      <c r="G1" s="4" t="inlineStr">
        <is>
          <t>PVP/Unidad</t>
        </is>
      </c>
      <c r="H1" s="4" t="inlineStr">
        <is>
          <t>Var %</t>
        </is>
      </c>
      <c r="I1" s="4" t="inlineStr">
        <is>
          <t>VS SIE</t>
        </is>
      </c>
      <c r="J1" s="4" t="inlineStr">
        <is>
          <t>VS Líder</t>
        </is>
      </c>
      <c r="K1" s="4" t="inlineStr">
        <is>
          <t>IQVIA MAT U.</t>
        </is>
      </c>
      <c r="L1" s="4" t="inlineStr">
        <is>
          <t>Share %</t>
        </is>
      </c>
      <c r="M1" s="4" t="inlineStr">
        <is>
          <t>Ranking</t>
        </is>
      </c>
    </row>
    <row r="2" ht="20" customHeight="1">
      <c r="A2" s="5" t="inlineStr">
        <is>
          <t>Dosis: 2.5/10 mg — amlodipina+benazepril</t>
        </is>
      </c>
    </row>
    <row r="3">
      <c r="A3" t="inlineStr">
        <is>
          <t>Casasco</t>
        </is>
      </c>
      <c r="B3" t="inlineStr">
        <is>
          <t>PELMEC DUO</t>
        </is>
      </c>
      <c r="C3" t="inlineStr">
        <is>
          <t>2.5/10 mg</t>
        </is>
      </c>
      <c r="D3" t="inlineStr">
        <is>
          <t>2.5/10 mg cáps.x 30</t>
        </is>
      </c>
      <c r="E3" s="2" t="n">
        <v>24017.74</v>
      </c>
      <c r="F3" s="2" t="n">
        <v>24570.14</v>
      </c>
      <c r="G3" s="2">
        <f>IFERROR(F3/30,"")</f>
        <v/>
      </c>
      <c r="H3" s="6">
        <f>IFERROR((F3-E3)/E3,"")</f>
        <v/>
      </c>
      <c r="I3" s="6">
        <f>IFERROR((G3-G5)/G5,"")</f>
        <v/>
      </c>
      <c r="J3" s="7" t="inlineStr">
        <is>
          <t>Líder</t>
        </is>
      </c>
      <c r="K3" s="3" t="n">
        <v>12928</v>
      </c>
      <c r="L3" s="6">
        <f>IFERROR(K3/SUM($K$3:$K$6),"")</f>
        <v/>
      </c>
      <c r="M3" s="8" t="n">
        <v>1</v>
      </c>
    </row>
    <row r="4">
      <c r="A4" t="inlineStr">
        <is>
          <t>Baliarda</t>
        </is>
      </c>
      <c r="B4" t="inlineStr">
        <is>
          <t>ILDUC DUO</t>
        </is>
      </c>
      <c r="C4" t="inlineStr">
        <is>
          <t>2.5/10 mg</t>
        </is>
      </c>
      <c r="D4" t="inlineStr">
        <is>
          <t>2.5/10 mg cáps.x 30</t>
        </is>
      </c>
      <c r="E4" s="2" t="n">
        <v>24013.22</v>
      </c>
      <c r="F4" s="2" t="n">
        <v>24709.6</v>
      </c>
      <c r="G4" s="2">
        <f>IFERROR(F4/30,"")</f>
        <v/>
      </c>
      <c r="H4" s="6">
        <f>IFERROR((F4-E4)/E4,"")</f>
        <v/>
      </c>
      <c r="I4" s="6">
        <f>IFERROR((G4-G5)/G5,"")</f>
        <v/>
      </c>
      <c r="J4" s="6">
        <f>IFERROR((G4-G3)/G3,"")</f>
        <v/>
      </c>
      <c r="K4" s="3" t="n">
        <v>9141</v>
      </c>
      <c r="L4" s="6">
        <f>IFERROR(K4/SUM($K$3:$K$6),"")</f>
        <v/>
      </c>
      <c r="M4" s="8" t="n">
        <v>2</v>
      </c>
    </row>
    <row r="5">
      <c r="A5" s="9" t="inlineStr">
        <is>
          <t>Siegfried ★ SIE</t>
        </is>
      </c>
      <c r="B5" s="9" t="inlineStr">
        <is>
          <t>TERLOC DUO</t>
        </is>
      </c>
      <c r="C5" s="9" t="inlineStr">
        <is>
          <t>2.5/10 mg</t>
        </is>
      </c>
      <c r="D5" s="9" t="inlineStr">
        <is>
          <t>2.5/10 mg cáps.x 30</t>
        </is>
      </c>
      <c r="E5" s="10" t="n">
        <v>26330.33</v>
      </c>
      <c r="F5" s="10" t="n">
        <v>26330.33</v>
      </c>
      <c r="G5" s="10">
        <f>IFERROR(F5/30,"")</f>
        <v/>
      </c>
      <c r="H5" s="11" t="n"/>
      <c r="I5" s="11" t="n"/>
      <c r="J5" s="11">
        <f>IFERROR((G5-G3)/G3,"")</f>
        <v/>
      </c>
      <c r="K5" s="12" t="n">
        <v>4589</v>
      </c>
      <c r="L5" s="11">
        <f>IFERROR(K5/SUM($K$3:$K$6),"")</f>
        <v/>
      </c>
      <c r="M5" s="13" t="n">
        <v>3</v>
      </c>
    </row>
    <row r="6">
      <c r="A6" t="inlineStr">
        <is>
          <t>Laboratorios Bernabó</t>
        </is>
      </c>
      <c r="B6" t="inlineStr">
        <is>
          <t>ARTERIOSAN PLUS</t>
        </is>
      </c>
      <c r="C6" t="inlineStr">
        <is>
          <t>2.5/10 mg</t>
        </is>
      </c>
      <c r="D6" t="inlineStr">
        <is>
          <t>2.5/10 mg cáps.x 30</t>
        </is>
      </c>
      <c r="E6" s="2" t="n">
        <v>22638.29</v>
      </c>
      <c r="F6" s="2" t="n">
        <v>23317.44</v>
      </c>
      <c r="G6" s="2">
        <f>IFERROR(F6/30,"")</f>
        <v/>
      </c>
      <c r="H6" s="6">
        <f>IFERROR((F6-E6)/E6,"")</f>
        <v/>
      </c>
      <c r="I6" s="6">
        <f>IFERROR((G6-G5)/G5,"")</f>
        <v/>
      </c>
      <c r="J6" s="6">
        <f>IFERROR((G6-G3)/G3,"")</f>
        <v/>
      </c>
      <c r="K6" s="3" t="n"/>
      <c r="L6" s="6">
        <f>IFERROR(K6/SUM($K$3:$K$6),"")</f>
        <v/>
      </c>
      <c r="M6" s="8" t="n">
        <v>4</v>
      </c>
    </row>
    <row r="8" ht="20" customHeight="1">
      <c r="A8" s="5" t="inlineStr">
        <is>
          <t>Dosis: 5 mg — amlodipina</t>
        </is>
      </c>
    </row>
    <row r="9">
      <c r="A9" t="inlineStr">
        <is>
          <t>Casasco</t>
        </is>
      </c>
      <c r="B9" t="inlineStr">
        <is>
          <t>PELMEC</t>
        </is>
      </c>
      <c r="C9" t="inlineStr">
        <is>
          <t>5 mg</t>
        </is>
      </c>
      <c r="D9" t="inlineStr">
        <is>
          <t>5 mg comp.x 30</t>
        </is>
      </c>
      <c r="E9" s="2" t="n">
        <v>15506.53</v>
      </c>
      <c r="F9" s="2" t="n">
        <v>15584.07</v>
      </c>
      <c r="G9" s="2">
        <f>IFERROR(F9/30,"")</f>
        <v/>
      </c>
      <c r="H9" s="6">
        <f>IFERROR((F9-E9)/E9,"")</f>
        <v/>
      </c>
      <c r="I9" s="6">
        <f>IFERROR((G9-G16)/G16,"")</f>
        <v/>
      </c>
      <c r="J9" s="7" t="inlineStr">
        <is>
          <t>Líder</t>
        </is>
      </c>
      <c r="K9" s="3" t="n">
        <v>797624</v>
      </c>
      <c r="L9" s="6">
        <f>IFERROR(K9/SUM($K$9:$K$44),"")</f>
        <v/>
      </c>
      <c r="M9" s="8" t="n">
        <v>1</v>
      </c>
    </row>
    <row r="10">
      <c r="A10" t="inlineStr">
        <is>
          <t>Baliarda</t>
        </is>
      </c>
      <c r="B10" t="inlineStr">
        <is>
          <t>ILDUC</t>
        </is>
      </c>
      <c r="C10" t="inlineStr">
        <is>
          <t>5 mg</t>
        </is>
      </c>
      <c r="D10" t="inlineStr">
        <is>
          <t>5 mg comp.ran.x 30</t>
        </is>
      </c>
      <c r="E10" s="2" t="n">
        <v>15645.29</v>
      </c>
      <c r="F10" s="2" t="n">
        <v>15801.74</v>
      </c>
      <c r="G10" s="2">
        <f>IFERROR(F10/30,"")</f>
        <v/>
      </c>
      <c r="H10" s="6">
        <f>IFERROR((F10-E10)/E10,"")</f>
        <v/>
      </c>
      <c r="I10" s="6">
        <f>IFERROR((G10-G16)/G16,"")</f>
        <v/>
      </c>
      <c r="J10" s="6">
        <f>IFERROR((G10-G9)/G9,"")</f>
        <v/>
      </c>
      <c r="K10" s="3" t="n">
        <v>494769</v>
      </c>
      <c r="L10" s="6">
        <f>IFERROR(K10/SUM($K$9:$K$44),"")</f>
        <v/>
      </c>
      <c r="M10" s="8" t="n">
        <v>2</v>
      </c>
    </row>
    <row r="11">
      <c r="A11" t="inlineStr">
        <is>
          <t>Aspen Pharma</t>
        </is>
      </c>
      <c r="B11" t="inlineStr">
        <is>
          <t>AMLOC</t>
        </is>
      </c>
      <c r="C11" t="inlineStr">
        <is>
          <t>5 mg</t>
        </is>
      </c>
      <c r="D11" t="inlineStr">
        <is>
          <t>5 mg tab.x 20</t>
        </is>
      </c>
      <c r="E11" s="2" t="n">
        <v>6561.14</v>
      </c>
      <c r="F11" s="2" t="n">
        <v>6561.14</v>
      </c>
      <c r="G11" s="2">
        <f>IFERROR(F11/20,"")</f>
        <v/>
      </c>
      <c r="H11" s="6">
        <f>IFERROR((F11-E11)/E11,"")</f>
        <v/>
      </c>
      <c r="I11" s="6">
        <f>IFERROR((G11-G16)/G16,"")</f>
        <v/>
      </c>
      <c r="J11" s="6">
        <f>IFERROR((G11-G9)/G9,"")</f>
        <v/>
      </c>
      <c r="K11" s="3" t="n">
        <v>271629</v>
      </c>
      <c r="L11" s="6">
        <f>IFERROR(K11/SUM($K$9:$K$44),"")</f>
        <v/>
      </c>
      <c r="M11" s="8" t="n">
        <v>3</v>
      </c>
    </row>
    <row r="12">
      <c r="A12" t="inlineStr">
        <is>
          <t>Aspen Pharma</t>
        </is>
      </c>
      <c r="B12" t="inlineStr">
        <is>
          <t>AMLOC</t>
        </is>
      </c>
      <c r="C12" t="inlineStr">
        <is>
          <t>5 mg</t>
        </is>
      </c>
      <c r="D12" t="inlineStr">
        <is>
          <t>5 mg tab.x 30</t>
        </is>
      </c>
      <c r="E12" s="2" t="n">
        <v>21750.48</v>
      </c>
      <c r="F12" s="2" t="n">
        <v>22761.48</v>
      </c>
      <c r="G12" s="2">
        <f>IFERROR(F12/30,"")</f>
        <v/>
      </c>
      <c r="H12" s="6">
        <f>IFERROR((F12-E12)/E12,"")</f>
        <v/>
      </c>
      <c r="I12" s="6">
        <f>IFERROR((G12-G16)/G16,"")</f>
        <v/>
      </c>
      <c r="J12" s="6">
        <f>IFERROR((G12-G9)/G9,"")</f>
        <v/>
      </c>
      <c r="K12" s="3" t="n">
        <v>271629</v>
      </c>
      <c r="L12" s="6">
        <f>IFERROR(K12/SUM($K$9:$K$44),"")</f>
        <v/>
      </c>
      <c r="M12" s="8" t="n">
        <v>4</v>
      </c>
    </row>
    <row r="13">
      <c r="A13" t="inlineStr">
        <is>
          <t>Bagó</t>
        </is>
      </c>
      <c r="B13" t="inlineStr">
        <is>
          <t>CARDIOREX 5</t>
        </is>
      </c>
      <c r="C13" t="inlineStr">
        <is>
          <t>5 mg</t>
        </is>
      </c>
      <c r="D13" t="inlineStr">
        <is>
          <t>5 mg comp.x 30</t>
        </is>
      </c>
      <c r="E13" s="2" t="n">
        <v>19106.5</v>
      </c>
      <c r="F13" s="2" t="n">
        <v>19244.06</v>
      </c>
      <c r="G13" s="2">
        <f>IFERROR(F13/30,"")</f>
        <v/>
      </c>
      <c r="H13" s="6">
        <f>IFERROR((F13-E13)/E13,"")</f>
        <v/>
      </c>
      <c r="I13" s="6">
        <f>IFERROR((G13-G16)/G16,"")</f>
        <v/>
      </c>
      <c r="J13" s="6">
        <f>IFERROR((G13-G9)/G9,"")</f>
        <v/>
      </c>
      <c r="K13" s="3" t="n">
        <v>206446</v>
      </c>
      <c r="L13" s="6">
        <f>IFERROR(K13/SUM($K$9:$K$44),"")</f>
        <v/>
      </c>
      <c r="M13" s="8" t="n">
        <v>5</v>
      </c>
    </row>
    <row r="14">
      <c r="A14" t="inlineStr">
        <is>
          <t>Casasco</t>
        </is>
      </c>
      <c r="B14" t="inlineStr">
        <is>
          <t>PELMEC</t>
        </is>
      </c>
      <c r="C14" t="inlineStr">
        <is>
          <t>5 mg</t>
        </is>
      </c>
      <c r="D14" t="inlineStr">
        <is>
          <t>5 mg comp.x 60</t>
        </is>
      </c>
      <c r="E14" s="2" t="n">
        <v>30031.81</v>
      </c>
      <c r="F14" s="2" t="n">
        <v>30031.81</v>
      </c>
      <c r="G14" s="2">
        <f>IFERROR(F14/60,"")</f>
        <v/>
      </c>
      <c r="H14" s="6">
        <f>IFERROR((F14-E14)/E14,"")</f>
        <v/>
      </c>
      <c r="I14" s="6">
        <f>IFERROR((G14-G16)/G16,"")</f>
        <v/>
      </c>
      <c r="J14" s="6">
        <f>IFERROR((G14-G9)/G9,"")</f>
        <v/>
      </c>
      <c r="K14" s="3" t="n">
        <v>183201</v>
      </c>
      <c r="L14" s="6">
        <f>IFERROR(K14/SUM($K$9:$K$44),"")</f>
        <v/>
      </c>
      <c r="M14" s="8" t="n">
        <v>6</v>
      </c>
    </row>
    <row r="15">
      <c r="A15" t="inlineStr">
        <is>
          <t>Roemmers</t>
        </is>
      </c>
      <c r="B15" t="inlineStr">
        <is>
          <t>COROVAL 5</t>
        </is>
      </c>
      <c r="C15" t="inlineStr">
        <is>
          <t>5 mg</t>
        </is>
      </c>
      <c r="D15" t="inlineStr">
        <is>
          <t>5 mg comp.x 30</t>
        </is>
      </c>
      <c r="E15" s="2" t="n">
        <v>15206</v>
      </c>
      <c r="F15" s="2" t="n">
        <v>15312</v>
      </c>
      <c r="G15" s="2">
        <f>IFERROR(F15/30,"")</f>
        <v/>
      </c>
      <c r="H15" s="6">
        <f>IFERROR((F15-E15)/E15,"")</f>
        <v/>
      </c>
      <c r="I15" s="6">
        <f>IFERROR((G15-G16)/G16,"")</f>
        <v/>
      </c>
      <c r="J15" s="6">
        <f>IFERROR((G15-G9)/G9,"")</f>
        <v/>
      </c>
      <c r="K15" s="3" t="n">
        <v>152628</v>
      </c>
      <c r="L15" s="6">
        <f>IFERROR(K15/SUM($K$9:$K$44),"")</f>
        <v/>
      </c>
      <c r="M15" s="8" t="n">
        <v>7</v>
      </c>
    </row>
    <row r="16">
      <c r="A16" s="9" t="inlineStr">
        <is>
          <t>Siegfried ★ SIE</t>
        </is>
      </c>
      <c r="B16" s="9" t="inlineStr">
        <is>
          <t>TERLOC</t>
        </is>
      </c>
      <c r="C16" s="9" t="inlineStr">
        <is>
          <t>5 mg</t>
        </is>
      </c>
      <c r="D16" s="9" t="inlineStr">
        <is>
          <t>5 mg comp.x 30</t>
        </is>
      </c>
      <c r="E16" s="10" t="n">
        <v>18392.28</v>
      </c>
      <c r="F16" s="10" t="n">
        <v>18392.28</v>
      </c>
      <c r="G16" s="10">
        <f>IFERROR(F16/30,"")</f>
        <v/>
      </c>
      <c r="H16" s="11" t="n"/>
      <c r="I16" s="11" t="n"/>
      <c r="J16" s="11">
        <f>IFERROR((G16-G9)/G9,"")</f>
        <v/>
      </c>
      <c r="K16" s="12" t="n">
        <v>146606</v>
      </c>
      <c r="L16" s="11">
        <f>IFERROR(K16/SUM($K$9:$K$44),"")</f>
        <v/>
      </c>
      <c r="M16" s="13" t="n">
        <v>8</v>
      </c>
    </row>
    <row r="17">
      <c r="A17" t="inlineStr">
        <is>
          <t>Fecofar</t>
        </is>
      </c>
      <c r="B17" t="inlineStr">
        <is>
          <t>BRANCILINA</t>
        </is>
      </c>
      <c r="C17" t="inlineStr">
        <is>
          <t>5 mg</t>
        </is>
      </c>
      <c r="D17" t="inlineStr">
        <is>
          <t>5 mg comp.x 30</t>
        </is>
      </c>
      <c r="E17" s="2" t="n">
        <v>11796.48</v>
      </c>
      <c r="F17" s="2" t="n">
        <v>12091.38</v>
      </c>
      <c r="G17" s="2">
        <f>IFERROR(F17/30,"")</f>
        <v/>
      </c>
      <c r="H17" s="6">
        <f>IFERROR((F17-E17)/E17,"")</f>
        <v/>
      </c>
      <c r="I17" s="6">
        <f>IFERROR((G17-G16)/G16,"")</f>
        <v/>
      </c>
      <c r="J17" s="6">
        <f>IFERROR((G17-G9)/G9,"")</f>
        <v/>
      </c>
      <c r="K17" s="3" t="n">
        <v>79066</v>
      </c>
      <c r="L17" s="6">
        <f>IFERROR(K17/SUM($K$9:$K$44),"")</f>
        <v/>
      </c>
      <c r="M17" s="8" t="n">
        <v>9</v>
      </c>
    </row>
    <row r="18">
      <c r="A18" t="inlineStr">
        <is>
          <t>Aspen Pharma</t>
        </is>
      </c>
      <c r="B18" t="inlineStr">
        <is>
          <t>AMLOC</t>
        </is>
      </c>
      <c r="C18" t="inlineStr">
        <is>
          <t>5 mg</t>
        </is>
      </c>
      <c r="D18" t="inlineStr">
        <is>
          <t>5 mg tab.x 60</t>
        </is>
      </c>
      <c r="E18" s="2" t="n">
        <v>37841.53</v>
      </c>
      <c r="F18" s="2" t="n">
        <v>39600.96</v>
      </c>
      <c r="G18" s="2">
        <f>IFERROR(F18/60,"")</f>
        <v/>
      </c>
      <c r="H18" s="6">
        <f>IFERROR((F18-E18)/E18,"")</f>
        <v/>
      </c>
      <c r="I18" s="6">
        <f>IFERROR((G18-G16)/G16,"")</f>
        <v/>
      </c>
      <c r="J18" s="6">
        <f>IFERROR((G18-G9)/G9,"")</f>
        <v/>
      </c>
      <c r="K18" s="3" t="n">
        <v>74429</v>
      </c>
      <c r="L18" s="6">
        <f>IFERROR(K18/SUM($K$9:$K$44),"")</f>
        <v/>
      </c>
      <c r="M18" s="8" t="n">
        <v>10</v>
      </c>
    </row>
    <row r="19">
      <c r="A19" t="inlineStr">
        <is>
          <t>Montpellier</t>
        </is>
      </c>
      <c r="B19" t="inlineStr">
        <is>
          <t>INDALTEN</t>
        </is>
      </c>
      <c r="C19" t="inlineStr">
        <is>
          <t>5 mg</t>
        </is>
      </c>
      <c r="D19" t="inlineStr">
        <is>
          <t>5 mg comp.x 30</t>
        </is>
      </c>
      <c r="E19" s="2" t="n">
        <v>15518.25</v>
      </c>
      <c r="F19" s="2" t="n">
        <v>15518.25</v>
      </c>
      <c r="G19" s="2">
        <f>IFERROR(F19/30,"")</f>
        <v/>
      </c>
      <c r="H19" s="6">
        <f>IFERROR((F19-E19)/E19,"")</f>
        <v/>
      </c>
      <c r="I19" s="6">
        <f>IFERROR((G19-G16)/G16,"")</f>
        <v/>
      </c>
      <c r="J19" s="6">
        <f>IFERROR((G19-G9)/G9,"")</f>
        <v/>
      </c>
      <c r="K19" s="3" t="n">
        <v>74078</v>
      </c>
      <c r="L19" s="6">
        <f>IFERROR(K19/SUM($K$9:$K$44),"")</f>
        <v/>
      </c>
      <c r="M19" s="8" t="n">
        <v>11</v>
      </c>
    </row>
    <row r="20">
      <c r="A20" t="inlineStr">
        <is>
          <t>Nolter</t>
        </is>
      </c>
      <c r="B20" t="inlineStr">
        <is>
          <t>ZUNDIC</t>
        </is>
      </c>
      <c r="C20" t="inlineStr">
        <is>
          <t>5 mg</t>
        </is>
      </c>
      <c r="D20" t="inlineStr">
        <is>
          <t>5 mg comp.x 30</t>
        </is>
      </c>
      <c r="E20" s="2" t="n">
        <v>19451.44</v>
      </c>
      <c r="F20" s="2" t="n">
        <v>20736.29</v>
      </c>
      <c r="G20" s="2">
        <f>IFERROR(F20/30,"")</f>
        <v/>
      </c>
      <c r="H20" s="6">
        <f>IFERROR((F20-E20)/E20,"")</f>
        <v/>
      </c>
      <c r="I20" s="6">
        <f>IFERROR((G20-G16)/G16,"")</f>
        <v/>
      </c>
      <c r="J20" s="6">
        <f>IFERROR((G20-G9)/G9,"")</f>
        <v/>
      </c>
      <c r="K20" s="3" t="n">
        <v>74012</v>
      </c>
      <c r="L20" s="6">
        <f>IFERROR(K20/SUM($K$9:$K$44),"")</f>
        <v/>
      </c>
      <c r="M20" s="8" t="n">
        <v>12</v>
      </c>
    </row>
    <row r="21">
      <c r="A21" t="inlineStr">
        <is>
          <t>Richet</t>
        </is>
      </c>
      <c r="B21" t="inlineStr">
        <is>
          <t>AMLODIPINA RICHET</t>
        </is>
      </c>
      <c r="C21" t="inlineStr">
        <is>
          <t>5 mg</t>
        </is>
      </c>
      <c r="D21" t="inlineStr">
        <is>
          <t>5 mg comp.x 30</t>
        </is>
      </c>
      <c r="E21" s="2" t="n">
        <v>12217.58</v>
      </c>
      <c r="F21" s="2" t="n">
        <v>12400.84</v>
      </c>
      <c r="G21" s="2">
        <f>IFERROR(F21/30,"")</f>
        <v/>
      </c>
      <c r="H21" s="6">
        <f>IFERROR((F21-E21)/E21,"")</f>
        <v/>
      </c>
      <c r="I21" s="6">
        <f>IFERROR((G21-G16)/G16,"")</f>
        <v/>
      </c>
      <c r="J21" s="6">
        <f>IFERROR((G21-G9)/G9,"")</f>
        <v/>
      </c>
      <c r="K21" s="3" t="n">
        <v>53372</v>
      </c>
      <c r="L21" s="6">
        <f>IFERROR(K21/SUM($K$9:$K$44),"")</f>
        <v/>
      </c>
      <c r="M21" s="8" t="n">
        <v>13</v>
      </c>
    </row>
    <row r="22">
      <c r="A22" t="inlineStr">
        <is>
          <t>Lepetit</t>
        </is>
      </c>
      <c r="B22" t="inlineStr">
        <is>
          <t>TENSIMED</t>
        </is>
      </c>
      <c r="C22" t="inlineStr">
        <is>
          <t>5 mg</t>
        </is>
      </c>
      <c r="D22" t="inlineStr">
        <is>
          <t>5 mg comp.rec.x 30</t>
        </is>
      </c>
      <c r="E22" s="2" t="n">
        <v>14460</v>
      </c>
      <c r="F22" s="2" t="n">
        <v>14460</v>
      </c>
      <c r="G22" s="2">
        <f>IFERROR(F22/30,"")</f>
        <v/>
      </c>
      <c r="H22" s="6">
        <f>IFERROR((F22-E22)/E22,"")</f>
        <v/>
      </c>
      <c r="I22" s="6">
        <f>IFERROR((G22-G16)/G16,"")</f>
        <v/>
      </c>
      <c r="J22" s="6">
        <f>IFERROR((G22-G9)/G9,"")</f>
        <v/>
      </c>
      <c r="K22" s="3" t="n">
        <v>48713</v>
      </c>
      <c r="L22" s="6">
        <f>IFERROR(K22/SUM($K$9:$K$44),"")</f>
        <v/>
      </c>
      <c r="M22" s="8" t="n">
        <v>14</v>
      </c>
    </row>
    <row r="23">
      <c r="A23" t="inlineStr">
        <is>
          <t>Lazar</t>
        </is>
      </c>
      <c r="B23" t="inlineStr">
        <is>
          <t>TERVALON</t>
        </is>
      </c>
      <c r="C23" t="inlineStr">
        <is>
          <t>5 mg</t>
        </is>
      </c>
      <c r="D23" t="inlineStr">
        <is>
          <t>5 mg comp.x 30</t>
        </is>
      </c>
      <c r="E23" s="2" t="n">
        <v>15233.74</v>
      </c>
      <c r="F23" s="2" t="n">
        <v>16208.49</v>
      </c>
      <c r="G23" s="2">
        <f>IFERROR(F23/30,"")</f>
        <v/>
      </c>
      <c r="H23" s="6">
        <f>IFERROR((F23-E23)/E23,"")</f>
        <v/>
      </c>
      <c r="I23" s="6">
        <f>IFERROR((G23-G16)/G16,"")</f>
        <v/>
      </c>
      <c r="J23" s="6">
        <f>IFERROR((G23-G9)/G9,"")</f>
        <v/>
      </c>
      <c r="K23" s="3" t="n">
        <v>28299</v>
      </c>
      <c r="L23" s="6">
        <f>IFERROR(K23/SUM($K$9:$K$44),"")</f>
        <v/>
      </c>
      <c r="M23" s="8" t="n">
        <v>15</v>
      </c>
    </row>
    <row r="24">
      <c r="A24" t="inlineStr">
        <is>
          <t>Finadiet</t>
        </is>
      </c>
      <c r="B24" t="inlineStr">
        <is>
          <t>HIPERTENSAL</t>
        </is>
      </c>
      <c r="C24" t="inlineStr">
        <is>
          <t>5 mg</t>
        </is>
      </c>
      <c r="D24" t="inlineStr">
        <is>
          <t>5 mg comp.x 30</t>
        </is>
      </c>
      <c r="E24" s="2" t="n">
        <v>15169.07</v>
      </c>
      <c r="F24" s="2" t="n">
        <v>15578.64</v>
      </c>
      <c r="G24" s="2">
        <f>IFERROR(F24/30,"")</f>
        <v/>
      </c>
      <c r="H24" s="6">
        <f>IFERROR((F24-E24)/E24,"")</f>
        <v/>
      </c>
      <c r="I24" s="6">
        <f>IFERROR((G24-G16)/G16,"")</f>
        <v/>
      </c>
      <c r="J24" s="6">
        <f>IFERROR((G24-G9)/G9,"")</f>
        <v/>
      </c>
      <c r="K24" s="3" t="n">
        <v>24915</v>
      </c>
      <c r="L24" s="6">
        <f>IFERROR(K24/SUM($K$9:$K$44),"")</f>
        <v/>
      </c>
      <c r="M24" s="8" t="n">
        <v>16</v>
      </c>
    </row>
    <row r="25">
      <c r="A25" t="inlineStr">
        <is>
          <t>Sidus</t>
        </is>
      </c>
      <c r="B25" t="inlineStr">
        <is>
          <t>CARDIVAS</t>
        </is>
      </c>
      <c r="C25" t="inlineStr">
        <is>
          <t>5 mg</t>
        </is>
      </c>
      <c r="D25" t="inlineStr">
        <is>
          <t>5 mg comp.ran.x 30</t>
        </is>
      </c>
      <c r="E25" s="2" t="n">
        <v>14930.95</v>
      </c>
      <c r="F25" s="2" t="n">
        <v>14930.95</v>
      </c>
      <c r="G25" s="2">
        <f>IFERROR(F25/30,"")</f>
        <v/>
      </c>
      <c r="H25" s="6">
        <f>IFERROR((F25-E25)/E25,"")</f>
        <v/>
      </c>
      <c r="I25" s="6">
        <f>IFERROR((G25-G16)/G16,"")</f>
        <v/>
      </c>
      <c r="J25" s="6">
        <f>IFERROR((G25-G9)/G9,"")</f>
        <v/>
      </c>
      <c r="K25" s="3" t="n">
        <v>23720</v>
      </c>
      <c r="L25" s="6">
        <f>IFERROR(K25/SUM($K$9:$K$44),"")</f>
        <v/>
      </c>
      <c r="M25" s="8" t="n">
        <v>17</v>
      </c>
    </row>
    <row r="26">
      <c r="A26" t="inlineStr">
        <is>
          <t>Rospaw</t>
        </is>
      </c>
      <c r="B26" t="inlineStr">
        <is>
          <t>AMLOPAW</t>
        </is>
      </c>
      <c r="C26" t="inlineStr">
        <is>
          <t>5 mg</t>
        </is>
      </c>
      <c r="D26" t="inlineStr">
        <is>
          <t>5 mg comp.x 30</t>
        </is>
      </c>
      <c r="E26" s="2" t="n">
        <v>15573.5</v>
      </c>
      <c r="F26" s="2" t="n">
        <v>15573.5</v>
      </c>
      <c r="G26" s="2">
        <f>IFERROR(F26/30,"")</f>
        <v/>
      </c>
      <c r="H26" s="6">
        <f>IFERROR((F26-E26)/E26,"")</f>
        <v/>
      </c>
      <c r="I26" s="6">
        <f>IFERROR((G26-G16)/G16,"")</f>
        <v/>
      </c>
      <c r="J26" s="6">
        <f>IFERROR((G26-G9)/G9,"")</f>
        <v/>
      </c>
      <c r="K26" s="3" t="n">
        <v>12409</v>
      </c>
      <c r="L26" s="6">
        <f>IFERROR(K26/SUM($K$9:$K$44),"")</f>
        <v/>
      </c>
      <c r="M26" s="8" t="n">
        <v>18</v>
      </c>
    </row>
    <row r="27">
      <c r="A27" t="inlineStr">
        <is>
          <t>Microsules Arg.</t>
        </is>
      </c>
      <c r="B27" t="inlineStr">
        <is>
          <t>ANEXA</t>
        </is>
      </c>
      <c r="C27" t="inlineStr">
        <is>
          <t>5 mg</t>
        </is>
      </c>
      <c r="D27" t="inlineStr">
        <is>
          <t>5 mg comp.x 30</t>
        </is>
      </c>
      <c r="E27" s="2" t="n">
        <v>16834.92</v>
      </c>
      <c r="F27" s="2" t="n">
        <v>17323.13</v>
      </c>
      <c r="G27" s="2">
        <f>IFERROR(F27/30,"")</f>
        <v/>
      </c>
      <c r="H27" s="6">
        <f>IFERROR((F27-E27)/E27,"")</f>
        <v/>
      </c>
      <c r="I27" s="6">
        <f>IFERROR((G27-G16)/G16,"")</f>
        <v/>
      </c>
      <c r="J27" s="6">
        <f>IFERROR((G27-G9)/G9,"")</f>
        <v/>
      </c>
      <c r="K27" s="3" t="n">
        <v>12311</v>
      </c>
      <c r="L27" s="6">
        <f>IFERROR(K27/SUM($K$9:$K$44),"")</f>
        <v/>
      </c>
      <c r="M27" s="8" t="n">
        <v>19</v>
      </c>
    </row>
    <row r="28">
      <c r="A28" t="inlineStr">
        <is>
          <t>Baliarda</t>
        </is>
      </c>
      <c r="B28" t="inlineStr">
        <is>
          <t>ILDUC</t>
        </is>
      </c>
      <c r="C28" t="inlineStr">
        <is>
          <t>5 mg</t>
        </is>
      </c>
      <c r="D28" t="inlineStr">
        <is>
          <t>5 mg comp.ran.x 60</t>
        </is>
      </c>
      <c r="E28" s="2" t="n">
        <v>29490.73</v>
      </c>
      <c r="F28" s="2" t="n">
        <v>29667.67</v>
      </c>
      <c r="G28" s="2">
        <f>IFERROR(F28/60,"")</f>
        <v/>
      </c>
      <c r="H28" s="6">
        <f>IFERROR((F28-E28)/E28,"")</f>
        <v/>
      </c>
      <c r="I28" s="6">
        <f>IFERROR((G28-G16)/G16,"")</f>
        <v/>
      </c>
      <c r="J28" s="6">
        <f>IFERROR((G28-G9)/G9,"")</f>
        <v/>
      </c>
      <c r="K28" s="3" t="n">
        <v>11724</v>
      </c>
      <c r="L28" s="6">
        <f>IFERROR(K28/SUM($K$9:$K$44),"")</f>
        <v/>
      </c>
      <c r="M28" s="8" t="n">
        <v>20</v>
      </c>
    </row>
    <row r="29">
      <c r="A29" t="inlineStr">
        <is>
          <t>Rospaw</t>
        </is>
      </c>
      <c r="B29" t="inlineStr">
        <is>
          <t>AMLOPAW</t>
        </is>
      </c>
      <c r="C29" t="inlineStr">
        <is>
          <t>5 mg</t>
        </is>
      </c>
      <c r="D29" t="inlineStr">
        <is>
          <t>5 mg comp.x 10</t>
        </is>
      </c>
      <c r="E29" s="2" t="n">
        <v>9178.6</v>
      </c>
      <c r="F29" s="2" t="n">
        <v>9178.6</v>
      </c>
      <c r="G29" s="2">
        <f>IFERROR(F29/10,"")</f>
        <v/>
      </c>
      <c r="H29" s="6">
        <f>IFERROR((F29-E29)/E29,"")</f>
        <v/>
      </c>
      <c r="I29" s="6">
        <f>IFERROR((G29-G16)/G16,"")</f>
        <v/>
      </c>
      <c r="J29" s="6">
        <f>IFERROR((G29-G9)/G9,"")</f>
        <v/>
      </c>
      <c r="K29" s="3" t="n">
        <v>10092</v>
      </c>
      <c r="L29" s="6">
        <f>IFERROR(K29/SUM($K$9:$K$44),"")</f>
        <v/>
      </c>
      <c r="M29" s="8" t="n">
        <v>21</v>
      </c>
    </row>
    <row r="30">
      <c r="A30" t="inlineStr">
        <is>
          <t>Roemmers</t>
        </is>
      </c>
      <c r="B30" t="inlineStr">
        <is>
          <t>COROVAL 5</t>
        </is>
      </c>
      <c r="C30" t="inlineStr">
        <is>
          <t>5 mg</t>
        </is>
      </c>
      <c r="D30" t="inlineStr">
        <is>
          <t>5 mg comp.x 60</t>
        </is>
      </c>
      <c r="E30" s="2" t="n">
        <v>29510</v>
      </c>
      <c r="F30" s="2" t="n">
        <v>29717</v>
      </c>
      <c r="G30" s="2">
        <f>IFERROR(F30/60,"")</f>
        <v/>
      </c>
      <c r="H30" s="6">
        <f>IFERROR((F30-E30)/E30,"")</f>
        <v/>
      </c>
      <c r="I30" s="6">
        <f>IFERROR((G30-G16)/G16,"")</f>
        <v/>
      </c>
      <c r="J30" s="6">
        <f>IFERROR((G30-G9)/G9,"")</f>
        <v/>
      </c>
      <c r="K30" s="3" t="n">
        <v>5885</v>
      </c>
      <c r="L30" s="6">
        <f>IFERROR(K30/SUM($K$9:$K$44),"")</f>
        <v/>
      </c>
      <c r="M30" s="8" t="n">
        <v>22</v>
      </c>
    </row>
    <row r="31">
      <c r="A31" t="inlineStr">
        <is>
          <t>Vannier</t>
        </is>
      </c>
      <c r="B31" t="inlineStr">
        <is>
          <t>AMLODIPINA VANNIER</t>
        </is>
      </c>
      <c r="C31" t="inlineStr">
        <is>
          <t>5 mg</t>
        </is>
      </c>
      <c r="D31" t="inlineStr">
        <is>
          <t>5 mg comp.x 30</t>
        </is>
      </c>
      <c r="E31" s="2" t="n">
        <v>15535.25</v>
      </c>
      <c r="F31" s="2" t="n">
        <v>15466.55</v>
      </c>
      <c r="G31" s="2">
        <f>IFERROR(F31/30,"")</f>
        <v/>
      </c>
      <c r="H31" s="6">
        <f>IFERROR((F31-E31)/E31,"")</f>
        <v/>
      </c>
      <c r="I31" s="6">
        <f>IFERROR((G31-G16)/G16,"")</f>
        <v/>
      </c>
      <c r="J31" s="6">
        <f>IFERROR((G31-G9)/G9,"")</f>
        <v/>
      </c>
      <c r="K31" s="3" t="n">
        <v>4640</v>
      </c>
      <c r="L31" s="6">
        <f>IFERROR(K31/SUM($K$9:$K$44),"")</f>
        <v/>
      </c>
      <c r="M31" s="8" t="n">
        <v>23</v>
      </c>
    </row>
    <row r="32">
      <c r="A32" t="inlineStr">
        <is>
          <t>Richmond</t>
        </is>
      </c>
      <c r="B32" t="inlineStr">
        <is>
          <t>AMZE</t>
        </is>
      </c>
      <c r="C32" t="inlineStr">
        <is>
          <t>5 mg</t>
        </is>
      </c>
      <c r="D32" t="inlineStr">
        <is>
          <t>5 mg comp.x 28</t>
        </is>
      </c>
      <c r="E32" s="2" t="n">
        <v>19375</v>
      </c>
      <c r="F32" s="2" t="n">
        <v>19762.5</v>
      </c>
      <c r="G32" s="2">
        <f>IFERROR(F32/28,"")</f>
        <v/>
      </c>
      <c r="H32" s="6">
        <f>IFERROR((F32-E32)/E32,"")</f>
        <v/>
      </c>
      <c r="I32" s="6">
        <f>IFERROR((G32-G16)/G16,"")</f>
        <v/>
      </c>
      <c r="J32" s="6">
        <f>IFERROR((G32-G9)/G9,"")</f>
        <v/>
      </c>
      <c r="K32" s="3" t="n">
        <v>2932</v>
      </c>
      <c r="L32" s="6">
        <f>IFERROR(K32/SUM($K$9:$K$44),"")</f>
        <v/>
      </c>
      <c r="M32" s="8" t="n">
        <v>24</v>
      </c>
    </row>
    <row r="33">
      <c r="A33" t="inlineStr">
        <is>
          <t>Rospaw</t>
        </is>
      </c>
      <c r="B33" t="inlineStr">
        <is>
          <t>AMLOPAW</t>
        </is>
      </c>
      <c r="C33" t="inlineStr">
        <is>
          <t>5 mg</t>
        </is>
      </c>
      <c r="D33" t="inlineStr">
        <is>
          <t>5 mg comp.x 60</t>
        </is>
      </c>
      <c r="E33" s="2" t="n">
        <v>32993.06</v>
      </c>
      <c r="F33" s="2" t="n">
        <v>32993.06</v>
      </c>
      <c r="G33" s="2">
        <f>IFERROR(F33/60,"")</f>
        <v/>
      </c>
      <c r="H33" s="6">
        <f>IFERROR((F33-E33)/E33,"")</f>
        <v/>
      </c>
      <c r="I33" s="6">
        <f>IFERROR((G33-G16)/G16,"")</f>
        <v/>
      </c>
      <c r="J33" s="6">
        <f>IFERROR((G33-G9)/G9,"")</f>
        <v/>
      </c>
      <c r="K33" s="3" t="n">
        <v>897</v>
      </c>
      <c r="L33" s="6">
        <f>IFERROR(K33/SUM($K$9:$K$44),"")</f>
        <v/>
      </c>
      <c r="M33" s="8" t="n">
        <v>25</v>
      </c>
    </row>
    <row r="34">
      <c r="A34" t="inlineStr">
        <is>
          <t>Biotenk</t>
        </is>
      </c>
      <c r="B34" t="inlineStr">
        <is>
          <t>MITOKOR</t>
        </is>
      </c>
      <c r="C34" t="inlineStr">
        <is>
          <t>5 mg</t>
        </is>
      </c>
      <c r="D34" t="inlineStr">
        <is>
          <t>5 mg comp.x 30</t>
        </is>
      </c>
      <c r="E34" s="2" t="n">
        <v>13978.78</v>
      </c>
      <c r="F34" s="2" t="n">
        <v>14974.07</v>
      </c>
      <c r="G34" s="2">
        <f>IFERROR(F34/30,"")</f>
        <v/>
      </c>
      <c r="H34" s="6">
        <f>IFERROR((F34-E34)/E34,"")</f>
        <v/>
      </c>
      <c r="I34" s="6">
        <f>IFERROR((G34-G16)/G16,"")</f>
        <v/>
      </c>
      <c r="J34" s="6">
        <f>IFERROR((G34-G9)/G9,"")</f>
        <v/>
      </c>
      <c r="K34" s="3" t="n">
        <v>876</v>
      </c>
      <c r="L34" s="6">
        <f>IFERROR(K34/SUM($K$9:$K$44),"")</f>
        <v/>
      </c>
      <c r="M34" s="8" t="n">
        <v>26</v>
      </c>
    </row>
    <row r="35">
      <c r="A35" t="inlineStr">
        <is>
          <t>Richet</t>
        </is>
      </c>
      <c r="B35" t="inlineStr">
        <is>
          <t>AMLODIPINA RICHET</t>
        </is>
      </c>
      <c r="C35" t="inlineStr">
        <is>
          <t>5 mg</t>
        </is>
      </c>
      <c r="D35" t="inlineStr">
        <is>
          <t>5 mg comp.rec.x 60</t>
        </is>
      </c>
      <c r="E35" s="2" t="n">
        <v>27507.85</v>
      </c>
      <c r="F35" s="2" t="n">
        <v>27920.47</v>
      </c>
      <c r="G35" s="2">
        <f>IFERROR(F35/60,"")</f>
        <v/>
      </c>
      <c r="H35" s="6">
        <f>IFERROR((F35-E35)/E35,"")</f>
        <v/>
      </c>
      <c r="I35" s="6">
        <f>IFERROR((G35-G16)/G16,"")</f>
        <v/>
      </c>
      <c r="J35" s="6">
        <f>IFERROR((G35-G9)/G9,"")</f>
        <v/>
      </c>
      <c r="K35" s="3" t="n">
        <v>242</v>
      </c>
      <c r="L35" s="6">
        <f>IFERROR(K35/SUM($K$9:$K$44),"")</f>
        <v/>
      </c>
      <c r="M35" s="8" t="n">
        <v>27</v>
      </c>
    </row>
    <row r="36">
      <c r="A36" t="inlineStr">
        <is>
          <t>Fabra</t>
        </is>
      </c>
      <c r="B36" t="inlineStr">
        <is>
          <t>ANGIOFILINA</t>
        </is>
      </c>
      <c r="C36" t="inlineStr">
        <is>
          <t>5 mg</t>
        </is>
      </c>
      <c r="D36" t="inlineStr">
        <is>
          <t>5 mg comp.x 30</t>
        </is>
      </c>
      <c r="E36" s="2" t="n">
        <v>16548</v>
      </c>
      <c r="F36" s="2" t="n">
        <v>17028</v>
      </c>
      <c r="G36" s="2">
        <f>IFERROR(F36/30,"")</f>
        <v/>
      </c>
      <c r="H36" s="6">
        <f>IFERROR((F36-E36)/E36,"")</f>
        <v/>
      </c>
      <c r="I36" s="6">
        <f>IFERROR((G36-G16)/G16,"")</f>
        <v/>
      </c>
      <c r="J36" s="6">
        <f>IFERROR((G36-G9)/G9,"")</f>
        <v/>
      </c>
      <c r="K36" s="3" t="n">
        <v>157</v>
      </c>
      <c r="L36" s="6">
        <f>IFERROR(K36/SUM($K$9:$K$44),"")</f>
        <v/>
      </c>
      <c r="M36" s="8" t="n">
        <v>28</v>
      </c>
    </row>
    <row r="37">
      <c r="A37" t="inlineStr">
        <is>
          <t>Aspen Pharma</t>
        </is>
      </c>
      <c r="B37" t="inlineStr">
        <is>
          <t>AMLOC ODT</t>
        </is>
      </c>
      <c r="C37" t="inlineStr">
        <is>
          <t>5 mg</t>
        </is>
      </c>
      <c r="D37" t="inlineStr">
        <is>
          <t>5 mg comp.x 30</t>
        </is>
      </c>
      <c r="E37" s="2" t="n">
        <v>8567.93</v>
      </c>
      <c r="F37" s="2" t="n">
        <v>8567.93</v>
      </c>
      <c r="G37" s="2">
        <f>IFERROR(F37/30,"")</f>
        <v/>
      </c>
      <c r="H37" s="6">
        <f>IFERROR((F37-E37)/E37,"")</f>
        <v/>
      </c>
      <c r="I37" s="6">
        <f>IFERROR((G37-G16)/G16,"")</f>
        <v/>
      </c>
      <c r="J37" s="6">
        <f>IFERROR((G37-G9)/G9,"")</f>
        <v/>
      </c>
      <c r="K37" s="3" t="n"/>
      <c r="L37" s="6">
        <f>IFERROR(K37/SUM($K$9:$K$44),"")</f>
        <v/>
      </c>
      <c r="M37" s="8" t="n">
        <v>29</v>
      </c>
    </row>
    <row r="38">
      <c r="A38" t="inlineStr">
        <is>
          <t>Eczane</t>
        </is>
      </c>
      <c r="B38" t="inlineStr">
        <is>
          <t>AMLODISANE</t>
        </is>
      </c>
      <c r="C38" t="inlineStr">
        <is>
          <t>5 mg</t>
        </is>
      </c>
      <c r="D38" t="inlineStr">
        <is>
          <t>5 mg comp.x 30</t>
        </is>
      </c>
      <c r="E38" s="2" t="n">
        <v>16271.84</v>
      </c>
      <c r="F38" s="2" t="n">
        <v>17229.3</v>
      </c>
      <c r="G38" s="2">
        <f>IFERROR(F38/30,"")</f>
        <v/>
      </c>
      <c r="H38" s="6">
        <f>IFERROR((F38-E38)/E38,"")</f>
        <v/>
      </c>
      <c r="I38" s="6">
        <f>IFERROR((G38-G16)/G16,"")</f>
        <v/>
      </c>
      <c r="J38" s="6">
        <f>IFERROR((G38-G9)/G9,"")</f>
        <v/>
      </c>
      <c r="K38" s="3" t="n"/>
      <c r="L38" s="6">
        <f>IFERROR(K38/SUM($K$9:$K$44),"")</f>
        <v/>
      </c>
      <c r="M38" s="8" t="n">
        <v>30</v>
      </c>
    </row>
    <row r="39">
      <c r="A39" t="inlineStr">
        <is>
          <t>Eczane</t>
        </is>
      </c>
      <c r="B39" t="inlineStr">
        <is>
          <t>AMLODISANE</t>
        </is>
      </c>
      <c r="C39" t="inlineStr">
        <is>
          <t>5 mg</t>
        </is>
      </c>
      <c r="D39" t="inlineStr">
        <is>
          <t>5 mg comp.x 500(EH)</t>
        </is>
      </c>
      <c r="E39" s="2" t="n">
        <v>182710.78</v>
      </c>
      <c r="F39" s="2" t="n">
        <v>193461.68</v>
      </c>
      <c r="G39" s="2">
        <f>IFERROR(F39/500,"")</f>
        <v/>
      </c>
      <c r="H39" s="6">
        <f>IFERROR((F39-E39)/E39,"")</f>
        <v/>
      </c>
      <c r="I39" s="6">
        <f>IFERROR((G39-G16)/G16,"")</f>
        <v/>
      </c>
      <c r="J39" s="6">
        <f>IFERROR((G39-G9)/G9,"")</f>
        <v/>
      </c>
      <c r="K39" s="3" t="n"/>
      <c r="L39" s="6">
        <f>IFERROR(K39/SUM($K$9:$K$44),"")</f>
        <v/>
      </c>
      <c r="M39" s="8" t="n">
        <v>31</v>
      </c>
    </row>
    <row r="40">
      <c r="A40" t="inlineStr">
        <is>
          <t>Klonal</t>
        </is>
      </c>
      <c r="B40" t="inlineStr">
        <is>
          <t>AMLOTENS</t>
        </is>
      </c>
      <c r="C40" t="inlineStr">
        <is>
          <t>5 mg</t>
        </is>
      </c>
      <c r="D40" t="inlineStr">
        <is>
          <t>5 mg comp.x 30</t>
        </is>
      </c>
      <c r="E40" s="2" t="n">
        <v>9343.059999999999</v>
      </c>
      <c r="F40" s="2" t="n">
        <v>10744.51</v>
      </c>
      <c r="G40" s="2">
        <f>IFERROR(F40/30,"")</f>
        <v/>
      </c>
      <c r="H40" s="6">
        <f>IFERROR((F40-E40)/E40,"")</f>
        <v/>
      </c>
      <c r="I40" s="6">
        <f>IFERROR((G40-G16)/G16,"")</f>
        <v/>
      </c>
      <c r="J40" s="6">
        <f>IFERROR((G40-G9)/G9,"")</f>
        <v/>
      </c>
      <c r="K40" s="3" t="n"/>
      <c r="L40" s="6">
        <f>IFERROR(K40/SUM($K$9:$K$44),"")</f>
        <v/>
      </c>
      <c r="M40" s="8" t="n">
        <v>32</v>
      </c>
    </row>
    <row r="41">
      <c r="A41" t="inlineStr">
        <is>
          <t>Laboratorios Bernabó</t>
        </is>
      </c>
      <c r="B41" t="inlineStr">
        <is>
          <t>ARTERIOSAN</t>
        </is>
      </c>
      <c r="C41" t="inlineStr">
        <is>
          <t>5 mg</t>
        </is>
      </c>
      <c r="D41" t="inlineStr">
        <is>
          <t>5 mg comp.x 30</t>
        </is>
      </c>
      <c r="E41" s="2" t="n">
        <v>15578.53</v>
      </c>
      <c r="F41" s="2" t="n">
        <v>15967.99</v>
      </c>
      <c r="G41" s="2">
        <f>IFERROR(F41/30,"")</f>
        <v/>
      </c>
      <c r="H41" s="6">
        <f>IFERROR((F41-E41)/E41,"")</f>
        <v/>
      </c>
      <c r="I41" s="6">
        <f>IFERROR((G41-G16)/G16,"")</f>
        <v/>
      </c>
      <c r="J41" s="6">
        <f>IFERROR((G41-G9)/G9,"")</f>
        <v/>
      </c>
      <c r="K41" s="3" t="n"/>
      <c r="L41" s="6">
        <f>IFERROR(K41/SUM($K$9:$K$44),"")</f>
        <v/>
      </c>
      <c r="M41" s="8" t="n">
        <v>33</v>
      </c>
    </row>
    <row r="42">
      <c r="A42" t="inlineStr">
        <is>
          <t>Sant Gall</t>
        </is>
      </c>
      <c r="B42" t="inlineStr">
        <is>
          <t>VERODIPIN</t>
        </is>
      </c>
      <c r="C42" t="inlineStr">
        <is>
          <t>5 mg</t>
        </is>
      </c>
      <c r="D42" t="inlineStr">
        <is>
          <t>5 mg comp.x 30</t>
        </is>
      </c>
      <c r="E42" s="2" t="n">
        <v>12712.04</v>
      </c>
      <c r="F42" s="2" t="n">
        <v>13983.25</v>
      </c>
      <c r="G42" s="2">
        <f>IFERROR(F42/30,"")</f>
        <v/>
      </c>
      <c r="H42" s="6">
        <f>IFERROR((F42-E42)/E42,"")</f>
        <v/>
      </c>
      <c r="I42" s="6">
        <f>IFERROR((G42-G16)/G16,"")</f>
        <v/>
      </c>
      <c r="J42" s="6">
        <f>IFERROR((G42-G9)/G9,"")</f>
        <v/>
      </c>
      <c r="K42" s="3" t="n"/>
      <c r="L42" s="6">
        <f>IFERROR(K42/SUM($K$9:$K$44),"")</f>
        <v/>
      </c>
      <c r="M42" s="8" t="n">
        <v>34</v>
      </c>
    </row>
    <row r="43">
      <c r="A43" t="inlineStr">
        <is>
          <t>Temis-Lostaló</t>
        </is>
      </c>
      <c r="B43" t="inlineStr">
        <is>
          <t>CALPRES</t>
        </is>
      </c>
      <c r="C43" t="inlineStr">
        <is>
          <t>5 mg</t>
        </is>
      </c>
      <c r="D43" t="inlineStr">
        <is>
          <t>5 mg comp.x 30</t>
        </is>
      </c>
      <c r="E43" s="2" t="n">
        <v>18522.98</v>
      </c>
      <c r="F43" s="2" t="n">
        <v>18893.44</v>
      </c>
      <c r="G43" s="2">
        <f>IFERROR(F43/30,"")</f>
        <v/>
      </c>
      <c r="H43" s="6">
        <f>IFERROR((F43-E43)/E43,"")</f>
        <v/>
      </c>
      <c r="I43" s="6">
        <f>IFERROR((G43-G16)/G16,"")</f>
        <v/>
      </c>
      <c r="J43" s="6">
        <f>IFERROR((G43-G9)/G9,"")</f>
        <v/>
      </c>
      <c r="K43" s="3" t="n"/>
      <c r="L43" s="6">
        <f>IFERROR(K43/SUM($K$9:$K$44),"")</f>
        <v/>
      </c>
      <c r="M43" s="8" t="n">
        <v>35</v>
      </c>
    </row>
    <row r="44">
      <c r="A44" t="inlineStr">
        <is>
          <t>Temis-Lostaló</t>
        </is>
      </c>
      <c r="B44" t="inlineStr">
        <is>
          <t>CALPRES</t>
        </is>
      </c>
      <c r="C44" t="inlineStr">
        <is>
          <t>5 mg</t>
        </is>
      </c>
      <c r="D44" t="inlineStr">
        <is>
          <t>5 mg comp.x 60</t>
        </is>
      </c>
      <c r="E44" s="2" t="n">
        <v>36270.34</v>
      </c>
      <c r="F44" s="2" t="n">
        <v>36995.76</v>
      </c>
      <c r="G44" s="2">
        <f>IFERROR(F44/60,"")</f>
        <v/>
      </c>
      <c r="H44" s="6">
        <f>IFERROR((F44-E44)/E44,"")</f>
        <v/>
      </c>
      <c r="I44" s="6">
        <f>IFERROR((G44-G16)/G16,"")</f>
        <v/>
      </c>
      <c r="J44" s="6">
        <f>IFERROR((G44-G9)/G9,"")</f>
        <v/>
      </c>
      <c r="K44" s="3" t="n"/>
      <c r="L44" s="6">
        <f>IFERROR(K44/SUM($K$9:$K$44),"")</f>
        <v/>
      </c>
      <c r="M44" s="8" t="n">
        <v>36</v>
      </c>
    </row>
    <row r="46" ht="20" customHeight="1">
      <c r="A46" s="5" t="inlineStr">
        <is>
          <t>Dosis: 5/10 mg — amlodipina+benazepril</t>
        </is>
      </c>
    </row>
    <row r="47">
      <c r="A47" t="inlineStr">
        <is>
          <t>Casasco</t>
        </is>
      </c>
      <c r="B47" t="inlineStr">
        <is>
          <t>PELMEC DUO</t>
        </is>
      </c>
      <c r="C47" t="inlineStr">
        <is>
          <t>5/10 mg</t>
        </is>
      </c>
      <c r="D47" t="inlineStr">
        <is>
          <t>5/10 mg cáps.x 30</t>
        </is>
      </c>
      <c r="E47" s="2" t="n">
        <v>33726.84</v>
      </c>
      <c r="F47" s="2" t="n">
        <v>34502.56</v>
      </c>
      <c r="G47" s="2">
        <f>IFERROR(F47/30,"")</f>
        <v/>
      </c>
      <c r="H47" s="6">
        <f>IFERROR((F47-E47)/E47,"")</f>
        <v/>
      </c>
      <c r="I47" s="6">
        <f>IFERROR((G47-G49)/G49,"")</f>
        <v/>
      </c>
      <c r="J47" s="7" t="inlineStr">
        <is>
          <t>Líder</t>
        </is>
      </c>
      <c r="K47" s="3" t="n">
        <v>100684</v>
      </c>
      <c r="L47" s="6">
        <f>IFERROR(K47/SUM($K$47:$K$50),"")</f>
        <v/>
      </c>
      <c r="M47" s="8" t="n">
        <v>1</v>
      </c>
    </row>
    <row r="48">
      <c r="A48" t="inlineStr">
        <is>
          <t>Baliarda</t>
        </is>
      </c>
      <c r="B48" t="inlineStr">
        <is>
          <t>ILDUC DUO</t>
        </is>
      </c>
      <c r="C48" t="inlineStr">
        <is>
          <t>5/10 mg</t>
        </is>
      </c>
      <c r="D48" t="inlineStr">
        <is>
          <t>5/10 mg cáps.x 30</t>
        </is>
      </c>
      <c r="E48" s="2" t="n">
        <v>33737.8</v>
      </c>
      <c r="F48" s="2" t="n">
        <v>34716.2</v>
      </c>
      <c r="G48" s="2">
        <f>IFERROR(F48/30,"")</f>
        <v/>
      </c>
      <c r="H48" s="6">
        <f>IFERROR((F48-E48)/E48,"")</f>
        <v/>
      </c>
      <c r="I48" s="6">
        <f>IFERROR((G48-G49)/G49,"")</f>
        <v/>
      </c>
      <c r="J48" s="6">
        <f>IFERROR((G48-G47)/G47,"")</f>
        <v/>
      </c>
      <c r="K48" s="3" t="n">
        <v>19313</v>
      </c>
      <c r="L48" s="6">
        <f>IFERROR(K48/SUM($K$47:$K$50),"")</f>
        <v/>
      </c>
      <c r="M48" s="8" t="n">
        <v>2</v>
      </c>
    </row>
    <row r="49">
      <c r="A49" s="9" t="inlineStr">
        <is>
          <t>Siegfried ★ SIE</t>
        </is>
      </c>
      <c r="B49" s="9" t="inlineStr">
        <is>
          <t>TERLOC DUO</t>
        </is>
      </c>
      <c r="C49" s="9" t="inlineStr">
        <is>
          <t>5/10 mg</t>
        </is>
      </c>
      <c r="D49" s="9" t="inlineStr">
        <is>
          <t>5/10 mg cáps.x 30</t>
        </is>
      </c>
      <c r="E49" s="10" t="n">
        <v>35215.95</v>
      </c>
      <c r="F49" s="10" t="n">
        <v>35215.95</v>
      </c>
      <c r="G49" s="10">
        <f>IFERROR(F49/30,"")</f>
        <v/>
      </c>
      <c r="H49" s="11" t="n"/>
      <c r="I49" s="11" t="n"/>
      <c r="J49" s="11">
        <f>IFERROR((G49-G47)/G47,"")</f>
        <v/>
      </c>
      <c r="K49" s="12" t="n">
        <v>8241</v>
      </c>
      <c r="L49" s="11">
        <f>IFERROR(K49/SUM($K$47:$K$50),"")</f>
        <v/>
      </c>
      <c r="M49" s="13" t="n">
        <v>3</v>
      </c>
    </row>
    <row r="50">
      <c r="A50" t="inlineStr">
        <is>
          <t>Laboratorios Bernabó</t>
        </is>
      </c>
      <c r="B50" t="inlineStr">
        <is>
          <t>ARTERIOSAN PLUS</t>
        </is>
      </c>
      <c r="C50" t="inlineStr">
        <is>
          <t>5/10 mg</t>
        </is>
      </c>
      <c r="D50" t="inlineStr">
        <is>
          <t>5/10 mg cáps.x 30</t>
        </is>
      </c>
      <c r="E50" s="2" t="n">
        <v>33103.27</v>
      </c>
      <c r="F50" s="2" t="n">
        <v>34096.37</v>
      </c>
      <c r="G50" s="2">
        <f>IFERROR(F50/30,"")</f>
        <v/>
      </c>
      <c r="H50" s="6">
        <f>IFERROR((F50-E50)/E50,"")</f>
        <v/>
      </c>
      <c r="I50" s="6">
        <f>IFERROR((G50-G49)/G49,"")</f>
        <v/>
      </c>
      <c r="J50" s="6">
        <f>IFERROR((G50-G47)/G47,"")</f>
        <v/>
      </c>
      <c r="K50" s="3" t="n"/>
      <c r="L50" s="6">
        <f>IFERROR(K50/SUM($K$47:$K$50),"")</f>
        <v/>
      </c>
      <c r="M50" s="8" t="n">
        <v>4</v>
      </c>
    </row>
    <row r="52" ht="20" customHeight="1">
      <c r="A52" s="5" t="inlineStr">
        <is>
          <t>Dosis: 5/20 mg — amlodipina+benazepril</t>
        </is>
      </c>
    </row>
    <row r="53">
      <c r="A53" t="inlineStr">
        <is>
          <t>Casasco</t>
        </is>
      </c>
      <c r="B53" t="inlineStr">
        <is>
          <t>PELMEC DUO</t>
        </is>
      </c>
      <c r="C53" t="inlineStr">
        <is>
          <t>5/20 mg</t>
        </is>
      </c>
      <c r="D53" t="inlineStr">
        <is>
          <t>5/20 mg cáps.x 30</t>
        </is>
      </c>
      <c r="E53" s="2" t="n">
        <v>45870.16</v>
      </c>
      <c r="F53" s="2" t="n">
        <v>46925.17</v>
      </c>
      <c r="G53" s="2">
        <f>IFERROR(F53/30,"")</f>
        <v/>
      </c>
      <c r="H53" s="6">
        <f>IFERROR((F53-E53)/E53,"")</f>
        <v/>
      </c>
      <c r="I53" s="6">
        <f>IFERROR((G53-G55)/G55,"")</f>
        <v/>
      </c>
      <c r="J53" s="7" t="inlineStr">
        <is>
          <t>Líder</t>
        </is>
      </c>
      <c r="K53" s="3" t="n">
        <v>17065</v>
      </c>
      <c r="L53" s="6">
        <f>IFERROR(K53/SUM($K$53:$K$56),"")</f>
        <v/>
      </c>
      <c r="M53" s="8" t="n">
        <v>1</v>
      </c>
    </row>
    <row r="54">
      <c r="A54" t="inlineStr">
        <is>
          <t>Baliarda</t>
        </is>
      </c>
      <c r="B54" t="inlineStr">
        <is>
          <t>ILDUC DUO</t>
        </is>
      </c>
      <c r="C54" t="inlineStr">
        <is>
          <t>5/20 mg</t>
        </is>
      </c>
      <c r="D54" t="inlineStr">
        <is>
          <t>5/20 mg cáps.x 30</t>
        </is>
      </c>
      <c r="E54" s="2" t="n">
        <v>45945.68</v>
      </c>
      <c r="F54" s="2" t="n">
        <v>47278.1</v>
      </c>
      <c r="G54" s="2">
        <f>IFERROR(F54/30,"")</f>
        <v/>
      </c>
      <c r="H54" s="6">
        <f>IFERROR((F54-E54)/E54,"")</f>
        <v/>
      </c>
      <c r="I54" s="6">
        <f>IFERROR((G54-G55)/G55,"")</f>
        <v/>
      </c>
      <c r="J54" s="6">
        <f>IFERROR((G54-G53)/G53,"")</f>
        <v/>
      </c>
      <c r="K54" s="3" t="n">
        <v>4122</v>
      </c>
      <c r="L54" s="6">
        <f>IFERROR(K54/SUM($K$53:$K$56),"")</f>
        <v/>
      </c>
      <c r="M54" s="8" t="n">
        <v>2</v>
      </c>
    </row>
    <row r="55">
      <c r="A55" s="9" t="inlineStr">
        <is>
          <t>Siegfried ★ SIE</t>
        </is>
      </c>
      <c r="B55" s="9" t="inlineStr">
        <is>
          <t>TERLOC DUO</t>
        </is>
      </c>
      <c r="C55" s="9" t="inlineStr">
        <is>
          <t>5/20 mg</t>
        </is>
      </c>
      <c r="D55" s="9" t="inlineStr">
        <is>
          <t>5/20 mg cáps.x 30</t>
        </is>
      </c>
      <c r="E55" s="10" t="n">
        <v>47384.2</v>
      </c>
      <c r="F55" s="10" t="n">
        <v>47384.2</v>
      </c>
      <c r="G55" s="10">
        <f>IFERROR(F55/30,"")</f>
        <v/>
      </c>
      <c r="H55" s="11" t="n"/>
      <c r="I55" s="11" t="n"/>
      <c r="J55" s="11">
        <f>IFERROR((G55-G53)/G53,"")</f>
        <v/>
      </c>
      <c r="K55" s="12" t="n">
        <v>3637</v>
      </c>
      <c r="L55" s="11">
        <f>IFERROR(K55/SUM($K$53:$K$56),"")</f>
        <v/>
      </c>
      <c r="M55" s="13" t="n">
        <v>3</v>
      </c>
    </row>
    <row r="56">
      <c r="A56" t="inlineStr">
        <is>
          <t>Laboratorios Bernabó</t>
        </is>
      </c>
      <c r="B56" t="inlineStr">
        <is>
          <t>ARTERIOSAN PLUS</t>
        </is>
      </c>
      <c r="C56" t="inlineStr">
        <is>
          <t>5/20 mg</t>
        </is>
      </c>
      <c r="D56" t="inlineStr">
        <is>
          <t>5/20 mg cáps.x 30</t>
        </is>
      </c>
      <c r="E56" s="2" t="n">
        <v>43672.57</v>
      </c>
      <c r="F56" s="2" t="n">
        <v>44982.75</v>
      </c>
      <c r="G56" s="2">
        <f>IFERROR(F56/30,"")</f>
        <v/>
      </c>
      <c r="H56" s="6">
        <f>IFERROR((F56-E56)/E56,"")</f>
        <v/>
      </c>
      <c r="I56" s="6">
        <f>IFERROR((G56-G55)/G55,"")</f>
        <v/>
      </c>
      <c r="J56" s="6">
        <f>IFERROR((G56-G53)/G53,"")</f>
        <v/>
      </c>
      <c r="K56" s="3" t="n"/>
      <c r="L56" s="6">
        <f>IFERROR(K56/SUM($K$53:$K$56),"")</f>
        <v/>
      </c>
      <c r="M56" s="8" t="n">
        <v>4</v>
      </c>
    </row>
    <row r="58" ht="20" customHeight="1">
      <c r="A58" s="5" t="inlineStr">
        <is>
          <t>Dosis: 10 mg — amlodipina</t>
        </is>
      </c>
    </row>
    <row r="59">
      <c r="A59" t="inlineStr">
        <is>
          <t>Casasco</t>
        </is>
      </c>
      <c r="B59" t="inlineStr">
        <is>
          <t>PELMEC</t>
        </is>
      </c>
      <c r="C59" t="inlineStr">
        <is>
          <t>10 mg</t>
        </is>
      </c>
      <c r="D59" t="inlineStr">
        <is>
          <t>10 mg comp.x 30</t>
        </is>
      </c>
      <c r="E59" s="2" t="n">
        <v>28718.2</v>
      </c>
      <c r="F59" s="2" t="n">
        <v>29148.96</v>
      </c>
      <c r="G59" s="2">
        <f>IFERROR(F59/30,"")</f>
        <v/>
      </c>
      <c r="H59" s="6">
        <f>IFERROR((F59-E59)/E59,"")</f>
        <v/>
      </c>
      <c r="I59" s="6">
        <f>IFERROR((G59-G62)/G62,"")</f>
        <v/>
      </c>
      <c r="J59" s="7" t="inlineStr">
        <is>
          <t>Líder</t>
        </is>
      </c>
      <c r="K59" s="3" t="n">
        <v>554420</v>
      </c>
      <c r="L59" s="6">
        <f>IFERROR(K59/SUM($K$59:$K$96),"")</f>
        <v/>
      </c>
      <c r="M59" s="8" t="n">
        <v>1</v>
      </c>
    </row>
    <row r="60">
      <c r="A60" t="inlineStr">
        <is>
          <t>Baliarda</t>
        </is>
      </c>
      <c r="B60" t="inlineStr">
        <is>
          <t>ILDUC</t>
        </is>
      </c>
      <c r="C60" t="inlineStr">
        <is>
          <t>10 mg</t>
        </is>
      </c>
      <c r="D60" t="inlineStr">
        <is>
          <t>10 mg comp.ran.x 30</t>
        </is>
      </c>
      <c r="E60" s="2" t="n">
        <v>28982.74</v>
      </c>
      <c r="F60" s="2" t="n">
        <v>29272.57</v>
      </c>
      <c r="G60" s="2">
        <f>IFERROR(F60/30,"")</f>
        <v/>
      </c>
      <c r="H60" s="6">
        <f>IFERROR((F60-E60)/E60,"")</f>
        <v/>
      </c>
      <c r="I60" s="6">
        <f>IFERROR((G60-G62)/G62,"")</f>
        <v/>
      </c>
      <c r="J60" s="6">
        <f>IFERROR((G60-G59)/G59,"")</f>
        <v/>
      </c>
      <c r="K60" s="3" t="n">
        <v>427076</v>
      </c>
      <c r="L60" s="6">
        <f>IFERROR(K60/SUM($K$59:$K$96),"")</f>
        <v/>
      </c>
      <c r="M60" s="8" t="n">
        <v>2</v>
      </c>
    </row>
    <row r="61">
      <c r="A61" t="inlineStr">
        <is>
          <t>Aspen Pharma</t>
        </is>
      </c>
      <c r="B61" t="inlineStr">
        <is>
          <t>AMLOC</t>
        </is>
      </c>
      <c r="C61" t="inlineStr">
        <is>
          <t>10 mg</t>
        </is>
      </c>
      <c r="D61" t="inlineStr">
        <is>
          <t>10 mg tab.x 30</t>
        </is>
      </c>
      <c r="E61" s="2" t="n">
        <v>38534.87</v>
      </c>
      <c r="F61" s="2" t="n">
        <v>40326.08</v>
      </c>
      <c r="G61" s="2">
        <f>IFERROR(F61/30,"")</f>
        <v/>
      </c>
      <c r="H61" s="6">
        <f>IFERROR((F61-E61)/E61,"")</f>
        <v/>
      </c>
      <c r="I61" s="6">
        <f>IFERROR((G61-G62)/G62,"")</f>
        <v/>
      </c>
      <c r="J61" s="6">
        <f>IFERROR((G61-G59)/G59,"")</f>
        <v/>
      </c>
      <c r="K61" s="3" t="n">
        <v>204066</v>
      </c>
      <c r="L61" s="6">
        <f>IFERROR(K61/SUM($K$59:$K$96),"")</f>
        <v/>
      </c>
      <c r="M61" s="8" t="n">
        <v>3</v>
      </c>
    </row>
    <row r="62">
      <c r="A62" s="9" t="inlineStr">
        <is>
          <t>Siegfried ★ SIE</t>
        </is>
      </c>
      <c r="B62" s="9" t="inlineStr">
        <is>
          <t>TERLOC</t>
        </is>
      </c>
      <c r="C62" s="9" t="inlineStr">
        <is>
          <t>10 mg</t>
        </is>
      </c>
      <c r="D62" s="9" t="inlineStr">
        <is>
          <t>10 mg comp.x 30</t>
        </is>
      </c>
      <c r="E62" s="10" t="n">
        <v>33854.65</v>
      </c>
      <c r="F62" s="10" t="n">
        <v>33854.65</v>
      </c>
      <c r="G62" s="10">
        <f>IFERROR(F62/30,"")</f>
        <v/>
      </c>
      <c r="H62" s="11" t="n"/>
      <c r="I62" s="11" t="n"/>
      <c r="J62" s="11">
        <f>IFERROR((G62-G59)/G59,"")</f>
        <v/>
      </c>
      <c r="K62" s="12" t="n">
        <v>145929</v>
      </c>
      <c r="L62" s="11">
        <f>IFERROR(K62/SUM($K$59:$K$96),"")</f>
        <v/>
      </c>
      <c r="M62" s="13" t="n">
        <v>4</v>
      </c>
    </row>
    <row r="63">
      <c r="A63" t="inlineStr">
        <is>
          <t>Bagó</t>
        </is>
      </c>
      <c r="B63" t="inlineStr">
        <is>
          <t>CARDIOREX 10</t>
        </is>
      </c>
      <c r="C63" t="inlineStr">
        <is>
          <t>10 mg</t>
        </is>
      </c>
      <c r="D63" t="inlineStr">
        <is>
          <t>10 mg comp.x 30</t>
        </is>
      </c>
      <c r="E63" s="2" t="n">
        <v>36103.69</v>
      </c>
      <c r="F63" s="2" t="n">
        <v>36363.64</v>
      </c>
      <c r="G63" s="2">
        <f>IFERROR(F63/30,"")</f>
        <v/>
      </c>
      <c r="H63" s="6">
        <f>IFERROR((F63-E63)/E63,"")</f>
        <v/>
      </c>
      <c r="I63" s="6">
        <f>IFERROR((G63-G62)/G62,"")</f>
        <v/>
      </c>
      <c r="J63" s="6">
        <f>IFERROR((G63-G59)/G59,"")</f>
        <v/>
      </c>
      <c r="K63" s="3" t="n">
        <v>119352</v>
      </c>
      <c r="L63" s="6">
        <f>IFERROR(K63/SUM($K$59:$K$96),"")</f>
        <v/>
      </c>
      <c r="M63" s="8" t="n">
        <v>5</v>
      </c>
    </row>
    <row r="64">
      <c r="A64" t="inlineStr">
        <is>
          <t>Roemmers</t>
        </is>
      </c>
      <c r="B64" t="inlineStr">
        <is>
          <t>COROVAL 10</t>
        </is>
      </c>
      <c r="C64" t="inlineStr">
        <is>
          <t>10 mg</t>
        </is>
      </c>
      <c r="D64" t="inlineStr">
        <is>
          <t>10 mg comp.x 30</t>
        </is>
      </c>
      <c r="E64" s="2" t="n">
        <v>28327</v>
      </c>
      <c r="F64" s="2" t="n">
        <v>28525</v>
      </c>
      <c r="G64" s="2">
        <f>IFERROR(F64/30,"")</f>
        <v/>
      </c>
      <c r="H64" s="6">
        <f>IFERROR((F64-E64)/E64,"")</f>
        <v/>
      </c>
      <c r="I64" s="6">
        <f>IFERROR((G64-G62)/G62,"")</f>
        <v/>
      </c>
      <c r="J64" s="6">
        <f>IFERROR((G64-G59)/G59,"")</f>
        <v/>
      </c>
      <c r="K64" s="3" t="n">
        <v>99988</v>
      </c>
      <c r="L64" s="6">
        <f>IFERROR(K64/SUM($K$59:$K$96),"")</f>
        <v/>
      </c>
      <c r="M64" s="8" t="n">
        <v>6</v>
      </c>
    </row>
    <row r="65">
      <c r="A65" t="inlineStr">
        <is>
          <t>Casasco</t>
        </is>
      </c>
      <c r="B65" t="inlineStr">
        <is>
          <t>PELMEC</t>
        </is>
      </c>
      <c r="C65" t="inlineStr">
        <is>
          <t>10 mg</t>
        </is>
      </c>
      <c r="D65" t="inlineStr">
        <is>
          <t>10 mg comp.x 60</t>
        </is>
      </c>
      <c r="E65" s="2" t="n">
        <v>55045.91</v>
      </c>
      <c r="F65" s="2" t="n">
        <v>55045.91</v>
      </c>
      <c r="G65" s="2">
        <f>IFERROR(F65/60,"")</f>
        <v/>
      </c>
      <c r="H65" s="6">
        <f>IFERROR((F65-E65)/E65,"")</f>
        <v/>
      </c>
      <c r="I65" s="6">
        <f>IFERROR((G65-G62)/G62,"")</f>
        <v/>
      </c>
      <c r="J65" s="6">
        <f>IFERROR((G65-G59)/G59,"")</f>
        <v/>
      </c>
      <c r="K65" s="3" t="n">
        <v>64512</v>
      </c>
      <c r="L65" s="6">
        <f>IFERROR(K65/SUM($K$59:$K$96),"")</f>
        <v/>
      </c>
      <c r="M65" s="8" t="n">
        <v>7</v>
      </c>
    </row>
    <row r="66">
      <c r="A66" t="inlineStr">
        <is>
          <t>Fecofar</t>
        </is>
      </c>
      <c r="B66" t="inlineStr">
        <is>
          <t>BRANCILINA</t>
        </is>
      </c>
      <c r="C66" t="inlineStr">
        <is>
          <t>10 mg</t>
        </is>
      </c>
      <c r="D66" t="inlineStr">
        <is>
          <t>10 mg comp.x 30</t>
        </is>
      </c>
      <c r="E66" s="2" t="n">
        <v>21295.62</v>
      </c>
      <c r="F66" s="2" t="n">
        <v>21828</v>
      </c>
      <c r="G66" s="2">
        <f>IFERROR(F66/30,"")</f>
        <v/>
      </c>
      <c r="H66" s="6">
        <f>IFERROR((F66-E66)/E66,"")</f>
        <v/>
      </c>
      <c r="I66" s="6">
        <f>IFERROR((G66-G62)/G62,"")</f>
        <v/>
      </c>
      <c r="J66" s="6">
        <f>IFERROR((G66-G59)/G59,"")</f>
        <v/>
      </c>
      <c r="K66" s="3" t="n">
        <v>62401</v>
      </c>
      <c r="L66" s="6">
        <f>IFERROR(K66/SUM($K$59:$K$96),"")</f>
        <v/>
      </c>
      <c r="M66" s="8" t="n">
        <v>8</v>
      </c>
    </row>
    <row r="67">
      <c r="A67" t="inlineStr">
        <is>
          <t>Nolter</t>
        </is>
      </c>
      <c r="B67" t="inlineStr">
        <is>
          <t>ZUNDIC</t>
        </is>
      </c>
      <c r="C67" t="inlineStr">
        <is>
          <t>10 mg</t>
        </is>
      </c>
      <c r="D67" t="inlineStr">
        <is>
          <t>10 mg comp.x 30</t>
        </is>
      </c>
      <c r="E67" s="2" t="n">
        <v>31998.76</v>
      </c>
      <c r="F67" s="2" t="n">
        <v>34112.41</v>
      </c>
      <c r="G67" s="2">
        <f>IFERROR(F67/30,"")</f>
        <v/>
      </c>
      <c r="H67" s="6">
        <f>IFERROR((F67-E67)/E67,"")</f>
        <v/>
      </c>
      <c r="I67" s="6">
        <f>IFERROR((G67-G62)/G62,"")</f>
        <v/>
      </c>
      <c r="J67" s="6">
        <f>IFERROR((G67-G59)/G59,"")</f>
        <v/>
      </c>
      <c r="K67" s="3" t="n">
        <v>56110</v>
      </c>
      <c r="L67" s="6">
        <f>IFERROR(K67/SUM($K$59:$K$96),"")</f>
        <v/>
      </c>
      <c r="M67" s="8" t="n">
        <v>9</v>
      </c>
    </row>
    <row r="68">
      <c r="A68" t="inlineStr">
        <is>
          <t>Montpellier</t>
        </is>
      </c>
      <c r="B68" t="inlineStr">
        <is>
          <t>INDALTEN</t>
        </is>
      </c>
      <c r="C68" t="inlineStr">
        <is>
          <t>10 mg</t>
        </is>
      </c>
      <c r="D68" t="inlineStr">
        <is>
          <t>10 mg comp.x 30</t>
        </is>
      </c>
      <c r="E68" s="2" t="n">
        <v>28654.09</v>
      </c>
      <c r="F68" s="2" t="n">
        <v>28654.09</v>
      </c>
      <c r="G68" s="2">
        <f>IFERROR(F68/30,"")</f>
        <v/>
      </c>
      <c r="H68" s="6">
        <f>IFERROR((F68-E68)/E68,"")</f>
        <v/>
      </c>
      <c r="I68" s="6">
        <f>IFERROR((G68-G62)/G62,"")</f>
        <v/>
      </c>
      <c r="J68" s="6">
        <f>IFERROR((G68-G59)/G59,"")</f>
        <v/>
      </c>
      <c r="K68" s="3" t="n">
        <v>52998</v>
      </c>
      <c r="L68" s="6">
        <f>IFERROR(K68/SUM($K$59:$K$96),"")</f>
        <v/>
      </c>
      <c r="M68" s="8" t="n">
        <v>10</v>
      </c>
    </row>
    <row r="69">
      <c r="A69" t="inlineStr">
        <is>
          <t>Richet</t>
        </is>
      </c>
      <c r="B69" t="inlineStr">
        <is>
          <t>AMLODIPINA RICHET</t>
        </is>
      </c>
      <c r="C69" t="inlineStr">
        <is>
          <t>10 mg</t>
        </is>
      </c>
      <c r="D69" t="inlineStr">
        <is>
          <t>10 mg comp.x 30</t>
        </is>
      </c>
      <c r="E69" s="2" t="n">
        <v>21018.13</v>
      </c>
      <c r="F69" s="2" t="n">
        <v>21333.4</v>
      </c>
      <c r="G69" s="2">
        <f>IFERROR(F69/30,"")</f>
        <v/>
      </c>
      <c r="H69" s="6">
        <f>IFERROR((F69-E69)/E69,"")</f>
        <v/>
      </c>
      <c r="I69" s="6">
        <f>IFERROR((G69-G62)/G62,"")</f>
        <v/>
      </c>
      <c r="J69" s="6">
        <f>IFERROR((G69-G59)/G59,"")</f>
        <v/>
      </c>
      <c r="K69" s="3" t="n">
        <v>50296</v>
      </c>
      <c r="L69" s="6">
        <f>IFERROR(K69/SUM($K$59:$K$96),"")</f>
        <v/>
      </c>
      <c r="M69" s="8" t="n">
        <v>11</v>
      </c>
    </row>
    <row r="70">
      <c r="A70" t="inlineStr">
        <is>
          <t>Finadiet</t>
        </is>
      </c>
      <c r="B70" t="inlineStr">
        <is>
          <t>HIPERTENSAL</t>
        </is>
      </c>
      <c r="C70" t="inlineStr">
        <is>
          <t>10 mg</t>
        </is>
      </c>
      <c r="D70" t="inlineStr">
        <is>
          <t>10 mg comp.x 30</t>
        </is>
      </c>
      <c r="E70" s="2" t="n">
        <v>22441.04</v>
      </c>
      <c r="F70" s="2" t="n">
        <v>24128.61</v>
      </c>
      <c r="G70" s="2">
        <f>IFERROR(F70/30,"")</f>
        <v/>
      </c>
      <c r="H70" s="6">
        <f>IFERROR((F70-E70)/E70,"")</f>
        <v/>
      </c>
      <c r="I70" s="6">
        <f>IFERROR((G70-G62)/G62,"")</f>
        <v/>
      </c>
      <c r="J70" s="6">
        <f>IFERROR((G70-G59)/G59,"")</f>
        <v/>
      </c>
      <c r="K70" s="3" t="n">
        <v>47595</v>
      </c>
      <c r="L70" s="6">
        <f>IFERROR(K70/SUM($K$59:$K$96),"")</f>
        <v/>
      </c>
      <c r="M70" s="8" t="n">
        <v>12</v>
      </c>
    </row>
    <row r="71">
      <c r="A71" t="inlineStr">
        <is>
          <t>Lepetit</t>
        </is>
      </c>
      <c r="B71" t="inlineStr">
        <is>
          <t>TENSIMED</t>
        </is>
      </c>
      <c r="C71" t="inlineStr">
        <is>
          <t>10 mg</t>
        </is>
      </c>
      <c r="D71" t="inlineStr">
        <is>
          <t>10 mg comp.rec.x 30</t>
        </is>
      </c>
      <c r="E71" s="2" t="n">
        <v>26820</v>
      </c>
      <c r="F71" s="2" t="n">
        <v>26820</v>
      </c>
      <c r="G71" s="2">
        <f>IFERROR(F71/30,"")</f>
        <v/>
      </c>
      <c r="H71" s="6">
        <f>IFERROR((F71-E71)/E71,"")</f>
        <v/>
      </c>
      <c r="I71" s="6">
        <f>IFERROR((G71-G62)/G62,"")</f>
        <v/>
      </c>
      <c r="J71" s="6">
        <f>IFERROR((G71-G59)/G59,"")</f>
        <v/>
      </c>
      <c r="K71" s="3" t="n">
        <v>38484</v>
      </c>
      <c r="L71" s="6">
        <f>IFERROR(K71/SUM($K$59:$K$96),"")</f>
        <v/>
      </c>
      <c r="M71" s="8" t="n">
        <v>13</v>
      </c>
    </row>
    <row r="72">
      <c r="A72" t="inlineStr">
        <is>
          <t>Lazar</t>
        </is>
      </c>
      <c r="B72" t="inlineStr">
        <is>
          <t>TERVALON</t>
        </is>
      </c>
      <c r="C72" t="inlineStr">
        <is>
          <t>10 mg</t>
        </is>
      </c>
      <c r="D72" t="inlineStr">
        <is>
          <t>10 mg comp.x 30</t>
        </is>
      </c>
      <c r="E72" s="2" t="n">
        <v>28920.6</v>
      </c>
      <c r="F72" s="2" t="n">
        <v>30771.12</v>
      </c>
      <c r="G72" s="2">
        <f>IFERROR(F72/30,"")</f>
        <v/>
      </c>
      <c r="H72" s="6">
        <f>IFERROR((F72-E72)/E72,"")</f>
        <v/>
      </c>
      <c r="I72" s="6">
        <f>IFERROR((G72-G62)/G62,"")</f>
        <v/>
      </c>
      <c r="J72" s="6">
        <f>IFERROR((G72-G59)/G59,"")</f>
        <v/>
      </c>
      <c r="K72" s="3" t="n">
        <v>31646</v>
      </c>
      <c r="L72" s="6">
        <f>IFERROR(K72/SUM($K$59:$K$96),"")</f>
        <v/>
      </c>
      <c r="M72" s="8" t="n">
        <v>14</v>
      </c>
    </row>
    <row r="73">
      <c r="A73" t="inlineStr">
        <is>
          <t>Aspen Pharma</t>
        </is>
      </c>
      <c r="B73" t="inlineStr">
        <is>
          <t>AMLOC</t>
        </is>
      </c>
      <c r="C73" t="inlineStr">
        <is>
          <t>10 mg</t>
        </is>
      </c>
      <c r="D73" t="inlineStr">
        <is>
          <t>10 mg tab.x 60</t>
        </is>
      </c>
      <c r="E73" s="2" t="n">
        <v>67036.39</v>
      </c>
      <c r="F73" s="2" t="n">
        <v>70152.66</v>
      </c>
      <c r="G73" s="2">
        <f>IFERROR(F73/60,"")</f>
        <v/>
      </c>
      <c r="H73" s="6">
        <f>IFERROR((F73-E73)/E73,"")</f>
        <v/>
      </c>
      <c r="I73" s="6">
        <f>IFERROR((G73-G62)/G62,"")</f>
        <v/>
      </c>
      <c r="J73" s="6">
        <f>IFERROR((G73-G59)/G59,"")</f>
        <v/>
      </c>
      <c r="K73" s="3" t="n">
        <v>29753</v>
      </c>
      <c r="L73" s="6">
        <f>IFERROR(K73/SUM($K$59:$K$96),"")</f>
        <v/>
      </c>
      <c r="M73" s="8" t="n">
        <v>15</v>
      </c>
    </row>
    <row r="74">
      <c r="A74" t="inlineStr">
        <is>
          <t>Sidus</t>
        </is>
      </c>
      <c r="B74" t="inlineStr">
        <is>
          <t>CARDIVAS</t>
        </is>
      </c>
      <c r="C74" t="inlineStr">
        <is>
          <t>10 mg</t>
        </is>
      </c>
      <c r="D74" t="inlineStr">
        <is>
          <t>10 mg comp.ran.x 30</t>
        </is>
      </c>
      <c r="E74" s="2" t="n">
        <v>29262.3</v>
      </c>
      <c r="F74" s="2" t="n">
        <v>29262.3</v>
      </c>
      <c r="G74" s="2">
        <f>IFERROR(F74/30,"")</f>
        <v/>
      </c>
      <c r="H74" s="6">
        <f>IFERROR((F74-E74)/E74,"")</f>
        <v/>
      </c>
      <c r="I74" s="6">
        <f>IFERROR((G74-G62)/G62,"")</f>
        <v/>
      </c>
      <c r="J74" s="6">
        <f>IFERROR((G74-G59)/G59,"")</f>
        <v/>
      </c>
      <c r="K74" s="3" t="n">
        <v>24137</v>
      </c>
      <c r="L74" s="6">
        <f>IFERROR(K74/SUM($K$59:$K$96),"")</f>
        <v/>
      </c>
      <c r="M74" s="8" t="n">
        <v>16</v>
      </c>
    </row>
    <row r="75">
      <c r="A75" t="inlineStr">
        <is>
          <t>Rospaw</t>
        </is>
      </c>
      <c r="B75" t="inlineStr">
        <is>
          <t>AMLOPAW</t>
        </is>
      </c>
      <c r="C75" t="inlineStr">
        <is>
          <t>10 mg</t>
        </is>
      </c>
      <c r="D75" t="inlineStr">
        <is>
          <t>10 mg comp.x 30</t>
        </is>
      </c>
      <c r="E75" s="2" t="n">
        <v>24697.41</v>
      </c>
      <c r="F75" s="2" t="n">
        <v>25413.63</v>
      </c>
      <c r="G75" s="2">
        <f>IFERROR(F75/30,"")</f>
        <v/>
      </c>
      <c r="H75" s="6">
        <f>IFERROR((F75-E75)/E75,"")</f>
        <v/>
      </c>
      <c r="I75" s="6">
        <f>IFERROR((G75-G62)/G62,"")</f>
        <v/>
      </c>
      <c r="J75" s="6">
        <f>IFERROR((G75-G59)/G59,"")</f>
        <v/>
      </c>
      <c r="K75" s="3" t="n">
        <v>10282</v>
      </c>
      <c r="L75" s="6">
        <f>IFERROR(K75/SUM($K$59:$K$96),"")</f>
        <v/>
      </c>
      <c r="M75" s="8" t="n">
        <v>17</v>
      </c>
    </row>
    <row r="76">
      <c r="A76" t="inlineStr">
        <is>
          <t>Rospaw</t>
        </is>
      </c>
      <c r="B76" t="inlineStr">
        <is>
          <t>AMLOPAW</t>
        </is>
      </c>
      <c r="C76" t="inlineStr">
        <is>
          <t>10 mg</t>
        </is>
      </c>
      <c r="D76" t="inlineStr">
        <is>
          <t>10 mg comp.x 10</t>
        </is>
      </c>
      <c r="E76" s="2" t="n">
        <v>11569.67</v>
      </c>
      <c r="F76" s="2" t="n">
        <v>11569.67</v>
      </c>
      <c r="G76" s="2">
        <f>IFERROR(F76/10,"")</f>
        <v/>
      </c>
      <c r="H76" s="6">
        <f>IFERROR((F76-E76)/E76,"")</f>
        <v/>
      </c>
      <c r="I76" s="6">
        <f>IFERROR((G76-G62)/G62,"")</f>
        <v/>
      </c>
      <c r="J76" s="6">
        <f>IFERROR((G76-G59)/G59,"")</f>
        <v/>
      </c>
      <c r="K76" s="3" t="n">
        <v>9125</v>
      </c>
      <c r="L76" s="6">
        <f>IFERROR(K76/SUM($K$59:$K$96),"")</f>
        <v/>
      </c>
      <c r="M76" s="8" t="n">
        <v>18</v>
      </c>
    </row>
    <row r="77">
      <c r="A77" t="inlineStr">
        <is>
          <t>Microsules Arg.</t>
        </is>
      </c>
      <c r="B77" t="inlineStr">
        <is>
          <t>ANEXA</t>
        </is>
      </c>
      <c r="C77" t="inlineStr">
        <is>
          <t>10 mg</t>
        </is>
      </c>
      <c r="D77" t="inlineStr">
        <is>
          <t>10 mg comp.x 30</t>
        </is>
      </c>
      <c r="E77" s="2" t="n">
        <v>31848.47</v>
      </c>
      <c r="F77" s="2" t="n">
        <v>32772.08</v>
      </c>
      <c r="G77" s="2">
        <f>IFERROR(F77/30,"")</f>
        <v/>
      </c>
      <c r="H77" s="6">
        <f>IFERROR((F77-E77)/E77,"")</f>
        <v/>
      </c>
      <c r="I77" s="6">
        <f>IFERROR((G77-G62)/G62,"")</f>
        <v/>
      </c>
      <c r="J77" s="6">
        <f>IFERROR((G77-G59)/G59,"")</f>
        <v/>
      </c>
      <c r="K77" s="3" t="n">
        <v>8492</v>
      </c>
      <c r="L77" s="6">
        <f>IFERROR(K77/SUM($K$59:$K$96),"")</f>
        <v/>
      </c>
      <c r="M77" s="8" t="n">
        <v>19</v>
      </c>
    </row>
    <row r="78">
      <c r="A78" t="inlineStr">
        <is>
          <t>Baliarda</t>
        </is>
      </c>
      <c r="B78" t="inlineStr">
        <is>
          <t>ILDUC</t>
        </is>
      </c>
      <c r="C78" t="inlineStr">
        <is>
          <t>10 mg</t>
        </is>
      </c>
      <c r="D78" t="inlineStr">
        <is>
          <t>10 mg comp.ran.x 60</t>
        </is>
      </c>
      <c r="E78" s="2" t="n">
        <v>54425.73</v>
      </c>
      <c r="F78" s="2" t="n">
        <v>54752.28</v>
      </c>
      <c r="G78" s="2">
        <f>IFERROR(F78/60,"")</f>
        <v/>
      </c>
      <c r="H78" s="6">
        <f>IFERROR((F78-E78)/E78,"")</f>
        <v/>
      </c>
      <c r="I78" s="6">
        <f>IFERROR((G78-G62)/G62,"")</f>
        <v/>
      </c>
      <c r="J78" s="6">
        <f>IFERROR((G78-G59)/G59,"")</f>
        <v/>
      </c>
      <c r="K78" s="3" t="n">
        <v>7432</v>
      </c>
      <c r="L78" s="6">
        <f>IFERROR(K78/SUM($K$59:$K$96),"")</f>
        <v/>
      </c>
      <c r="M78" s="8" t="n">
        <v>20</v>
      </c>
    </row>
    <row r="79">
      <c r="A79" t="inlineStr">
        <is>
          <t>Vannier</t>
        </is>
      </c>
      <c r="B79" t="inlineStr">
        <is>
          <t>AMLODIPINA VANNIER</t>
        </is>
      </c>
      <c r="C79" t="inlineStr">
        <is>
          <t>10 mg</t>
        </is>
      </c>
      <c r="D79" t="inlineStr">
        <is>
          <t>10 mg comp.x 30</t>
        </is>
      </c>
      <c r="E79" s="2" t="n">
        <v>24674.15</v>
      </c>
      <c r="F79" s="2" t="n">
        <v>24633.58</v>
      </c>
      <c r="G79" s="2">
        <f>IFERROR(F79/30,"")</f>
        <v/>
      </c>
      <c r="H79" s="6">
        <f>IFERROR((F79-E79)/E79,"")</f>
        <v/>
      </c>
      <c r="I79" s="6">
        <f>IFERROR((G79-G62)/G62,"")</f>
        <v/>
      </c>
      <c r="J79" s="6">
        <f>IFERROR((G79-G59)/G59,"")</f>
        <v/>
      </c>
      <c r="K79" s="3" t="n">
        <v>4321</v>
      </c>
      <c r="L79" s="6">
        <f>IFERROR(K79/SUM($K$59:$K$96),"")</f>
        <v/>
      </c>
      <c r="M79" s="8" t="n">
        <v>21</v>
      </c>
    </row>
    <row r="80">
      <c r="A80" t="inlineStr">
        <is>
          <t>Richmond</t>
        </is>
      </c>
      <c r="B80" t="inlineStr">
        <is>
          <t>AMZE</t>
        </is>
      </c>
      <c r="C80" t="inlineStr">
        <is>
          <t>10 mg</t>
        </is>
      </c>
      <c r="D80" t="inlineStr">
        <is>
          <t>10 mg comp.x 28</t>
        </is>
      </c>
      <c r="E80" s="2" t="n">
        <v>33928.22</v>
      </c>
      <c r="F80" s="2" t="n">
        <v>34912.14</v>
      </c>
      <c r="G80" s="2">
        <f>IFERROR(F80/28,"")</f>
        <v/>
      </c>
      <c r="H80" s="6">
        <f>IFERROR((F80-E80)/E80,"")</f>
        <v/>
      </c>
      <c r="I80" s="6">
        <f>IFERROR((G80-G62)/G62,"")</f>
        <v/>
      </c>
      <c r="J80" s="6">
        <f>IFERROR((G80-G59)/G59,"")</f>
        <v/>
      </c>
      <c r="K80" s="3" t="n">
        <v>2706</v>
      </c>
      <c r="L80" s="6">
        <f>IFERROR(K80/SUM($K$59:$K$96),"")</f>
        <v/>
      </c>
      <c r="M80" s="8" t="n">
        <v>22</v>
      </c>
    </row>
    <row r="81">
      <c r="A81" t="inlineStr">
        <is>
          <t>Roemmers</t>
        </is>
      </c>
      <c r="B81" t="inlineStr">
        <is>
          <t>COROVAL 10</t>
        </is>
      </c>
      <c r="C81" t="inlineStr">
        <is>
          <t>10 mg</t>
        </is>
      </c>
      <c r="D81" t="inlineStr">
        <is>
          <t>10 mg comp.x 60</t>
        </is>
      </c>
      <c r="E81" s="2" t="n">
        <v>54492</v>
      </c>
      <c r="F81" s="2" t="n">
        <v>54873</v>
      </c>
      <c r="G81" s="2">
        <f>IFERROR(F81/60,"")</f>
        <v/>
      </c>
      <c r="H81" s="6">
        <f>IFERROR((F81-E81)/E81,"")</f>
        <v/>
      </c>
      <c r="I81" s="6">
        <f>IFERROR((G81-G62)/G62,"")</f>
        <v/>
      </c>
      <c r="J81" s="6">
        <f>IFERROR((G81-G59)/G59,"")</f>
        <v/>
      </c>
      <c r="K81" s="3" t="n">
        <v>2505</v>
      </c>
      <c r="L81" s="6">
        <f>IFERROR(K81/SUM($K$59:$K$96),"")</f>
        <v/>
      </c>
      <c r="M81" s="8" t="n">
        <v>23</v>
      </c>
    </row>
    <row r="82">
      <c r="A82" t="inlineStr">
        <is>
          <t>Biotenk</t>
        </is>
      </c>
      <c r="B82" t="inlineStr">
        <is>
          <t>MITOKOR</t>
        </is>
      </c>
      <c r="C82" t="inlineStr">
        <is>
          <t>10 mg</t>
        </is>
      </c>
      <c r="D82" t="inlineStr">
        <is>
          <t>10 mg comp.x 30</t>
        </is>
      </c>
      <c r="E82" s="2" t="n">
        <v>24857.25</v>
      </c>
      <c r="F82" s="2" t="n">
        <v>26627.09</v>
      </c>
      <c r="G82" s="2">
        <f>IFERROR(F82/30,"")</f>
        <v/>
      </c>
      <c r="H82" s="6">
        <f>IFERROR((F82-E82)/E82,"")</f>
        <v/>
      </c>
      <c r="I82" s="6">
        <f>IFERROR((G82-G62)/G62,"")</f>
        <v/>
      </c>
      <c r="J82" s="6">
        <f>IFERROR((G82-G59)/G59,"")</f>
        <v/>
      </c>
      <c r="K82" s="3" t="n">
        <v>832</v>
      </c>
      <c r="L82" s="6">
        <f>IFERROR(K82/SUM($K$59:$K$96),"")</f>
        <v/>
      </c>
      <c r="M82" s="8" t="n">
        <v>24</v>
      </c>
    </row>
    <row r="83">
      <c r="A83" t="inlineStr">
        <is>
          <t>Duncan</t>
        </is>
      </c>
      <c r="B83" t="inlineStr">
        <is>
          <t>ABLOOM</t>
        </is>
      </c>
      <c r="C83" t="inlineStr">
        <is>
          <t>10 mg</t>
        </is>
      </c>
      <c r="D83" t="inlineStr">
        <is>
          <t>10 mg comp.x 30</t>
        </is>
      </c>
      <c r="E83" s="2" t="n">
        <v>19702.87</v>
      </c>
      <c r="F83" s="2" t="n">
        <v>20293.96</v>
      </c>
      <c r="G83" s="2">
        <f>IFERROR(F83/30,"")</f>
        <v/>
      </c>
      <c r="H83" s="6">
        <f>IFERROR((F83-E83)/E83,"")</f>
        <v/>
      </c>
      <c r="I83" s="6">
        <f>IFERROR((G83-G62)/G62,"")</f>
        <v/>
      </c>
      <c r="J83" s="6">
        <f>IFERROR((G83-G59)/G59,"")</f>
        <v/>
      </c>
      <c r="K83" s="3" t="n">
        <v>344</v>
      </c>
      <c r="L83" s="6">
        <f>IFERROR(K83/SUM($K$59:$K$96),"")</f>
        <v/>
      </c>
      <c r="M83" s="8" t="n">
        <v>25</v>
      </c>
    </row>
    <row r="84">
      <c r="A84" t="inlineStr">
        <is>
          <t>Fabra</t>
        </is>
      </c>
      <c r="B84" t="inlineStr">
        <is>
          <t>ANGIOFILINA</t>
        </is>
      </c>
      <c r="C84" t="inlineStr">
        <is>
          <t>10 mg</t>
        </is>
      </c>
      <c r="D84" t="inlineStr">
        <is>
          <t>10 mg comp.x 30</t>
        </is>
      </c>
      <c r="E84" s="2" t="n">
        <v>31297</v>
      </c>
      <c r="F84" s="2" t="n">
        <v>32205</v>
      </c>
      <c r="G84" s="2">
        <f>IFERROR(F84/30,"")</f>
        <v/>
      </c>
      <c r="H84" s="6">
        <f>IFERROR((F84-E84)/E84,"")</f>
        <v/>
      </c>
      <c r="I84" s="6">
        <f>IFERROR((G84-G62)/G62,"")</f>
        <v/>
      </c>
      <c r="J84" s="6">
        <f>IFERROR((G84-G59)/G59,"")</f>
        <v/>
      </c>
      <c r="K84" s="3" t="n">
        <v>165</v>
      </c>
      <c r="L84" s="6">
        <f>IFERROR(K84/SUM($K$59:$K$96),"")</f>
        <v/>
      </c>
      <c r="M84" s="8" t="n">
        <v>26</v>
      </c>
    </row>
    <row r="85">
      <c r="A85" t="inlineStr">
        <is>
          <t>Richet</t>
        </is>
      </c>
      <c r="B85" t="inlineStr">
        <is>
          <t>AMLODIPINA RICHET</t>
        </is>
      </c>
      <c r="C85" t="inlineStr">
        <is>
          <t>10 mg</t>
        </is>
      </c>
      <c r="D85" t="inlineStr">
        <is>
          <t>10 mg comp.rec.x 60</t>
        </is>
      </c>
      <c r="E85" s="2" t="n">
        <v>51113.26</v>
      </c>
      <c r="F85" s="2" t="n">
        <v>51879.96</v>
      </c>
      <c r="G85" s="2">
        <f>IFERROR(F85/60,"")</f>
        <v/>
      </c>
      <c r="H85" s="6">
        <f>IFERROR((F85-E85)/E85,"")</f>
        <v/>
      </c>
      <c r="I85" s="6">
        <f>IFERROR((G85-G62)/G62,"")</f>
        <v/>
      </c>
      <c r="J85" s="6">
        <f>IFERROR((G85-G59)/G59,"")</f>
        <v/>
      </c>
      <c r="K85" s="3" t="n">
        <v>136</v>
      </c>
      <c r="L85" s="6">
        <f>IFERROR(K85/SUM($K$59:$K$96),"")</f>
        <v/>
      </c>
      <c r="M85" s="8" t="n">
        <v>27</v>
      </c>
    </row>
    <row r="86">
      <c r="A86" t="inlineStr">
        <is>
          <t>Rospaw</t>
        </is>
      </c>
      <c r="B86" t="inlineStr">
        <is>
          <t>AMLOPAW</t>
        </is>
      </c>
      <c r="C86" t="inlineStr">
        <is>
          <t>10 mg</t>
        </is>
      </c>
      <c r="D86" t="inlineStr">
        <is>
          <t>10 mg comp.x 50</t>
        </is>
      </c>
      <c r="E86" s="2" t="n">
        <v>50834.07</v>
      </c>
      <c r="F86" s="2" t="n">
        <v>51342.41</v>
      </c>
      <c r="G86" s="2">
        <f>IFERROR(F86/50,"")</f>
        <v/>
      </c>
      <c r="H86" s="6">
        <f>IFERROR((F86-E86)/E86,"")</f>
        <v/>
      </c>
      <c r="I86" s="6">
        <f>IFERROR((G86-G62)/G62,"")</f>
        <v/>
      </c>
      <c r="J86" s="6">
        <f>IFERROR((G86-G59)/G59,"")</f>
        <v/>
      </c>
      <c r="K86" s="3" t="n">
        <v>102</v>
      </c>
      <c r="L86" s="6">
        <f>IFERROR(K86/SUM($K$59:$K$96),"")</f>
        <v/>
      </c>
      <c r="M86" s="8" t="n">
        <v>28</v>
      </c>
    </row>
    <row r="87">
      <c r="A87" t="inlineStr">
        <is>
          <t>Rospaw</t>
        </is>
      </c>
      <c r="B87" t="inlineStr">
        <is>
          <t>AMLOPAW</t>
        </is>
      </c>
      <c r="C87" t="inlineStr">
        <is>
          <t>10 mg</t>
        </is>
      </c>
      <c r="D87" t="inlineStr">
        <is>
          <t>10 mg comp.x 60</t>
        </is>
      </c>
      <c r="E87" s="2" t="n">
        <v>58162.91</v>
      </c>
      <c r="F87" s="2" t="n">
        <v>59849.63</v>
      </c>
      <c r="G87" s="2">
        <f>IFERROR(F87/60,"")</f>
        <v/>
      </c>
      <c r="H87" s="6">
        <f>IFERROR((F87-E87)/E87,"")</f>
        <v/>
      </c>
      <c r="I87" s="6">
        <f>IFERROR((G87-G62)/G62,"")</f>
        <v/>
      </c>
      <c r="J87" s="6">
        <f>IFERROR((G87-G59)/G59,"")</f>
        <v/>
      </c>
      <c r="K87" s="3" t="n">
        <v>52</v>
      </c>
      <c r="L87" s="6">
        <f>IFERROR(K87/SUM($K$59:$K$96),"")</f>
        <v/>
      </c>
      <c r="M87" s="8" t="n">
        <v>29</v>
      </c>
    </row>
    <row r="88">
      <c r="A88" t="inlineStr">
        <is>
          <t>Aspen Pharma</t>
        </is>
      </c>
      <c r="B88" t="inlineStr">
        <is>
          <t>AMLOC ODT</t>
        </is>
      </c>
      <c r="C88" t="inlineStr">
        <is>
          <t>10 mg</t>
        </is>
      </c>
      <c r="D88" t="inlineStr">
        <is>
          <t>10 mg comp.x 30</t>
        </is>
      </c>
      <c r="E88" s="2" t="n">
        <v>16686.08</v>
      </c>
      <c r="F88" s="2" t="n">
        <v>16686.08</v>
      </c>
      <c r="G88" s="2">
        <f>IFERROR(F88/30,"")</f>
        <v/>
      </c>
      <c r="H88" s="6">
        <f>IFERROR((F88-E88)/E88,"")</f>
        <v/>
      </c>
      <c r="I88" s="6">
        <f>IFERROR((G88-G62)/G62,"")</f>
        <v/>
      </c>
      <c r="J88" s="6">
        <f>IFERROR((G88-G59)/G59,"")</f>
        <v/>
      </c>
      <c r="K88" s="3" t="n"/>
      <c r="L88" s="6">
        <f>IFERROR(K88/SUM($K$59:$K$96),"")</f>
        <v/>
      </c>
      <c r="M88" s="8" t="n">
        <v>30</v>
      </c>
    </row>
    <row r="89">
      <c r="A89" t="inlineStr">
        <is>
          <t>Eczane</t>
        </is>
      </c>
      <c r="B89" t="inlineStr">
        <is>
          <t>AMLODISANE</t>
        </is>
      </c>
      <c r="C89" t="inlineStr">
        <is>
          <t>10 mg</t>
        </is>
      </c>
      <c r="D89" t="inlineStr">
        <is>
          <t>10 mg comp.x 30</t>
        </is>
      </c>
      <c r="E89" s="2" t="n">
        <v>21792.82</v>
      </c>
      <c r="F89" s="2" t="n">
        <v>23075.14</v>
      </c>
      <c r="G89" s="2">
        <f>IFERROR(F89/30,"")</f>
        <v/>
      </c>
      <c r="H89" s="6">
        <f>IFERROR((F89-E89)/E89,"")</f>
        <v/>
      </c>
      <c r="I89" s="6">
        <f>IFERROR((G89-G62)/G62,"")</f>
        <v/>
      </c>
      <c r="J89" s="6">
        <f>IFERROR((G89-G59)/G59,"")</f>
        <v/>
      </c>
      <c r="K89" s="3" t="n"/>
      <c r="L89" s="6">
        <f>IFERROR(K89/SUM($K$59:$K$96),"")</f>
        <v/>
      </c>
      <c r="M89" s="8" t="n">
        <v>31</v>
      </c>
    </row>
    <row r="90">
      <c r="A90" t="inlineStr">
        <is>
          <t>Eczane</t>
        </is>
      </c>
      <c r="B90" t="inlineStr">
        <is>
          <t>AMLODISANE</t>
        </is>
      </c>
      <c r="C90" t="inlineStr">
        <is>
          <t>10 mg</t>
        </is>
      </c>
      <c r="D90" t="inlineStr">
        <is>
          <t>10 mg comp.x 500(EH)</t>
        </is>
      </c>
      <c r="E90" s="2" t="n">
        <v>306609.53</v>
      </c>
      <c r="F90" s="2" t="n">
        <v>324650.75</v>
      </c>
      <c r="G90" s="2">
        <f>IFERROR(F90/500,"")</f>
        <v/>
      </c>
      <c r="H90" s="6">
        <f>IFERROR((F90-E90)/E90,"")</f>
        <v/>
      </c>
      <c r="I90" s="6">
        <f>IFERROR((G90-G62)/G62,"")</f>
        <v/>
      </c>
      <c r="J90" s="6">
        <f>IFERROR((G90-G59)/G59,"")</f>
        <v/>
      </c>
      <c r="K90" s="3" t="n"/>
      <c r="L90" s="6">
        <f>IFERROR(K90/SUM($K$59:$K$96),"")</f>
        <v/>
      </c>
      <c r="M90" s="8" t="n">
        <v>32</v>
      </c>
    </row>
    <row r="91">
      <c r="A91" t="inlineStr">
        <is>
          <t>Klonal</t>
        </is>
      </c>
      <c r="B91" t="inlineStr">
        <is>
          <t>AMLOTENS</t>
        </is>
      </c>
      <c r="C91" t="inlineStr">
        <is>
          <t>10 mg</t>
        </is>
      </c>
      <c r="D91" t="inlineStr">
        <is>
          <t>10 mg comp.x 30</t>
        </is>
      </c>
      <c r="E91" s="2" t="n">
        <v>17609.06</v>
      </c>
      <c r="F91" s="2" t="n">
        <v>20250.42</v>
      </c>
      <c r="G91" s="2">
        <f>IFERROR(F91/30,"")</f>
        <v/>
      </c>
      <c r="H91" s="6">
        <f>IFERROR((F91-E91)/E91,"")</f>
        <v/>
      </c>
      <c r="I91" s="6">
        <f>IFERROR((G91-G62)/G62,"")</f>
        <v/>
      </c>
      <c r="J91" s="6">
        <f>IFERROR((G91-G59)/G59,"")</f>
        <v/>
      </c>
      <c r="K91" s="3" t="n"/>
      <c r="L91" s="6">
        <f>IFERROR(K91/SUM($K$59:$K$96),"")</f>
        <v/>
      </c>
      <c r="M91" s="8" t="n">
        <v>33</v>
      </c>
    </row>
    <row r="92">
      <c r="A92" t="inlineStr">
        <is>
          <t>Laboratorios Bernabó</t>
        </is>
      </c>
      <c r="B92" t="inlineStr">
        <is>
          <t>ARTERIOSAN</t>
        </is>
      </c>
      <c r="C92" t="inlineStr">
        <is>
          <t>10 mg</t>
        </is>
      </c>
      <c r="D92" t="inlineStr">
        <is>
          <t>10 mg comp.x 30</t>
        </is>
      </c>
      <c r="E92" s="2" t="n">
        <v>28941.41</v>
      </c>
      <c r="F92" s="2" t="n">
        <v>29664.95</v>
      </c>
      <c r="G92" s="2">
        <f>IFERROR(F92/30,"")</f>
        <v/>
      </c>
      <c r="H92" s="6">
        <f>IFERROR((F92-E92)/E92,"")</f>
        <v/>
      </c>
      <c r="I92" s="6">
        <f>IFERROR((G92-G62)/G62,"")</f>
        <v/>
      </c>
      <c r="J92" s="6">
        <f>IFERROR((G92-G59)/G59,"")</f>
        <v/>
      </c>
      <c r="K92" s="3" t="n"/>
      <c r="L92" s="6">
        <f>IFERROR(K92/SUM($K$59:$K$96),"")</f>
        <v/>
      </c>
      <c r="M92" s="8" t="n">
        <v>34</v>
      </c>
    </row>
    <row r="93">
      <c r="A93" t="inlineStr">
        <is>
          <t>Sant Gall</t>
        </is>
      </c>
      <c r="B93" t="inlineStr">
        <is>
          <t>VERODIPIN</t>
        </is>
      </c>
      <c r="C93" t="inlineStr">
        <is>
          <t>10 mg</t>
        </is>
      </c>
      <c r="D93" t="inlineStr">
        <is>
          <t>10 mg comp.x 30</t>
        </is>
      </c>
      <c r="E93" s="2" t="n">
        <v>22172.23</v>
      </c>
      <c r="F93" s="2" t="n">
        <v>24389.46</v>
      </c>
      <c r="G93" s="2">
        <f>IFERROR(F93/30,"")</f>
        <v/>
      </c>
      <c r="H93" s="6">
        <f>IFERROR((F93-E93)/E93,"")</f>
        <v/>
      </c>
      <c r="I93" s="6">
        <f>IFERROR((G93-G62)/G62,"")</f>
        <v/>
      </c>
      <c r="J93" s="6">
        <f>IFERROR((G93-G59)/G59,"")</f>
        <v/>
      </c>
      <c r="K93" s="3" t="n"/>
      <c r="L93" s="6">
        <f>IFERROR(K93/SUM($K$59:$K$96),"")</f>
        <v/>
      </c>
      <c r="M93" s="8" t="n">
        <v>35</v>
      </c>
    </row>
    <row r="94">
      <c r="A94" t="inlineStr">
        <is>
          <t>Savant Generic</t>
        </is>
      </c>
      <c r="B94" t="inlineStr">
        <is>
          <t>OTERAMINA</t>
        </is>
      </c>
      <c r="C94" t="inlineStr">
        <is>
          <t>10 mg</t>
        </is>
      </c>
      <c r="D94" t="inlineStr">
        <is>
          <t>10 mg comp.x 30</t>
        </is>
      </c>
      <c r="E94" s="2" t="n">
        <v>10048.14</v>
      </c>
      <c r="F94" s="2" t="n">
        <v>10048.14</v>
      </c>
      <c r="G94" s="2">
        <f>IFERROR(F94/30,"")</f>
        <v/>
      </c>
      <c r="H94" s="6">
        <f>IFERROR((F94-E94)/E94,"")</f>
        <v/>
      </c>
      <c r="I94" s="6">
        <f>IFERROR((G94-G62)/G62,"")</f>
        <v/>
      </c>
      <c r="J94" s="6">
        <f>IFERROR((G94-G59)/G59,"")</f>
        <v/>
      </c>
      <c r="K94" s="3" t="n"/>
      <c r="L94" s="6">
        <f>IFERROR(K94/SUM($K$59:$K$96),"")</f>
        <v/>
      </c>
      <c r="M94" s="8" t="n">
        <v>36</v>
      </c>
    </row>
    <row r="95">
      <c r="A95" t="inlineStr">
        <is>
          <t>Temis-Lostaló</t>
        </is>
      </c>
      <c r="B95" t="inlineStr">
        <is>
          <t>CALPRES</t>
        </is>
      </c>
      <c r="C95" t="inlineStr">
        <is>
          <t>10 mg</t>
        </is>
      </c>
      <c r="D95" t="inlineStr">
        <is>
          <t>10 mg comp.x 30</t>
        </is>
      </c>
      <c r="E95" s="2" t="n">
        <v>34075.2</v>
      </c>
      <c r="F95" s="2" t="n">
        <v>34756.7</v>
      </c>
      <c r="G95" s="2">
        <f>IFERROR(F95/30,"")</f>
        <v/>
      </c>
      <c r="H95" s="6">
        <f>IFERROR((F95-E95)/E95,"")</f>
        <v/>
      </c>
      <c r="I95" s="6">
        <f>IFERROR((G95-G62)/G62,"")</f>
        <v/>
      </c>
      <c r="J95" s="6">
        <f>IFERROR((G95-G59)/G59,"")</f>
        <v/>
      </c>
      <c r="K95" s="3" t="n"/>
      <c r="L95" s="6">
        <f>IFERROR(K95/SUM($K$59:$K$96),"")</f>
        <v/>
      </c>
      <c r="M95" s="8" t="n">
        <v>37</v>
      </c>
    </row>
    <row r="96">
      <c r="A96" t="inlineStr">
        <is>
          <t>Temis-Lostaló</t>
        </is>
      </c>
      <c r="B96" t="inlineStr">
        <is>
          <t>CALPRES</t>
        </is>
      </c>
      <c r="C96" t="inlineStr">
        <is>
          <t>10 mg</t>
        </is>
      </c>
      <c r="D96" t="inlineStr">
        <is>
          <t>10 mg comp.x 60</t>
        </is>
      </c>
      <c r="E96" s="2" t="n">
        <v>61734.08</v>
      </c>
      <c r="F96" s="2" t="n">
        <v>62968.76</v>
      </c>
      <c r="G96" s="2">
        <f>IFERROR(F96/60,"")</f>
        <v/>
      </c>
      <c r="H96" s="6">
        <f>IFERROR((F96-E96)/E96,"")</f>
        <v/>
      </c>
      <c r="I96" s="6">
        <f>IFERROR((G96-G62)/G62,"")</f>
        <v/>
      </c>
      <c r="J96" s="6">
        <f>IFERROR((G96-G59)/G59,"")</f>
        <v/>
      </c>
      <c r="K96" s="3" t="n"/>
      <c r="L96" s="6">
        <f>IFERROR(K96/SUM($K$59:$K$96),"")</f>
        <v/>
      </c>
      <c r="M96" s="8" t="n">
        <v>38</v>
      </c>
    </row>
  </sheetData>
  <mergeCells count="5">
    <mergeCell ref="A46:M46"/>
    <mergeCell ref="A8:M8"/>
    <mergeCell ref="A58:M58"/>
    <mergeCell ref="A2:M2"/>
    <mergeCell ref="A52:M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2026-04-23T15:16:33Z</dcterms:created>
  <dcterms:modified xmlns:dcterms="http://purl.org/dc/terms/" xmlns:xsi="http://www.w3.org/2001/XMLSchema-instance" xsi:type="dcterms:W3CDTF">2026-04-23T15:16:34Z</dcterms:modified>
</cp:coreProperties>
</file>